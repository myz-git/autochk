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true" codeName="ThisWorkbook"/>
  <bookViews>
    <workbookView xWindow="-120" yWindow="-120" windowWidth="29040" windowHeight="15720"/>
  </bookViews>
  <sheets>
    <sheet name="HealthReport" sheetId="1" r:id="rId1"/>
    <sheet name="OS" sheetId="5" r:id="rId2"/>
    <sheet name="DB" sheetId="6" r:id="rId3"/>
    <sheet name="INST" sheetId="7" r:id="rId4"/>
  </sheets>
  <definedNames>
    <definedName name="ChecklistTotal">SUM(#REF!)</definedName>
    <definedName name="ColumnTitle1">HealthReport!$B$29:$L$41</definedName>
    <definedName name="ColumnTitle2">#REF!</definedName>
    <definedName name="ColumnTitle3">#REF!</definedName>
    <definedName localSheetId="0" name="_xlnm.Print_Titles">HealthReport!$28:$28</definedName>
    <definedName name="RowTitleRegion1..C7">HealthReport!$C$4</definedName>
    <definedName name="SchoolYear">YEAR(TODAY())&amp;" - "&amp;YEAR(TODAY())+1</definedName>
    <definedName name="SumItemsBought">COUNTIF(HealthReport!$L$29:$L$41,"&gt;0")</definedName>
    <definedName name="SumItemsToBuy">COUNTIF(HealthReport!$H$29:$H$41,"&gt;0")</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1" l="true"/>
  <c r="H13" i="1"/>
  <c r="L29" i="1" l="true"/>
  <c r="L30" i="1"/>
</calcChain>
</file>

<file path=xl/comments1.xml><?xml version="1.0" encoding="utf-8"?>
<comments xmlns="http://schemas.openxmlformats.org/spreadsheetml/2006/main">
  <authors>
    <author>健康检查系统</author>
  </authors>
  <commentList>
    <comment ref="C11" authorId="0">
      <text>
        <t>普通问题:
问题: oradb11主机,sem参数总信号量当前32000小于阈值[250 256000 100 1024],
建议: 调整sem参数
问题: oradb11主机,swappiness参数当前值30大于阈值1,
建议: 设置swappiness=1
轻微问题:
问题: oradb11主机,ipfrag_high_thresh参数当前值4194304小于阈值16777216,
建议: 设置ipfrag_high_thresh=16777216
问题: oradb11主机,ipfrag_low_thresh参数当前值3145728小于阈值15728640,
建议: 设置ipfrag_low_thresh=15728640</t>
      </text>
    </comment>
    <comment ref="C12" authorId="0">
      <text>
        <t>普通问题:
问题: oradb11主机,max user processes限制当前值4096小于阈值16384,
建议: 设置max user processes=16384</t>
      </text>
    </comment>
    <comment ref="C17" authorId="0">
      <text>
        <t>严重问题:
问题: oradb11主机,可用内存当前1864 MB小于严重阈值2048 MB,
建议: 需尽快增加内存或优化内存使用</t>
      </text>
    </comment>
    <comment ref="C19" authorId="0">
      <text>
        <t>普通问题:
问题: oradb11主机,透明大页当前配置为[always] madvise never,
建议: 关闭透明大页功能以提升系统稳定性</t>
      </text>
    </comment>
    <comment ref="C26" authorId="0">
      <text>
        <t>普通问题:
问题: oradb11主机,NSSwitch配置中发现NIS配置,
建议: 移除NIS配置以提升系统安全性</t>
      </text>
    </comment>
    <comment ref="C27" authorId="0">
      <text>
        <t>普通问题:
问题: oradb11主机,LO网卡MTU值当前为65536,超过16384,
建议: 调整为16384或更小值以提升网络性能</t>
      </text>
    </comment>
    <comment ref="C30" authorId="0">
      <text>
        <t>普通问题:
问题: oradb11主机,检测到安装了存在安全风险的RPM包
freetype-2.8-14.el7.x86_64
libsmbclient-4.10.4-10.el7.x86_64
ghostscript-cups-9.25-2.el7_7.3.x86_64
samba-common-4.10.4-10.el7.noarch
samba-client-libs-4.10.4-10.el7.x86_64
freetype-devel-2.8-14.el7.x86_64
ghostscript-9.25-2.el7_7.3.x86_64
open-vm-tools-desktop-10.3.10-2.el7.x86_64
samba-common-libs-4.10.4-10.el7.x86_64
open-vm-tools-10.3.10-2.el7.x86_64
firefox-68.5.0-2.el7.centos.x86_64
libwbclient-4.10.4-10.el7.x86_64
samba-libs-4.10.4-10.el7.x86_64,
建议: 移除存在安全隐患的RPM包以提升系统安全性</t>
      </text>
    </comment>
  </commentList>
</comments>
</file>

<file path=xl/comments2.xml><?xml version="1.0" encoding="utf-8"?>
<comments xmlns="http://schemas.openxmlformats.org/spreadsheetml/2006/main">
  <authors>
    <author>健康检查系统</author>
  </authors>
  <commentList>
    <comment ref="C23" authorId="0">
      <text>
        <t>轻微问题:
问题: oradb数据库,PUBLIC用户存在93个无效对象,
建议: 对无效对象进行重新编译或及时清理
问题: oradb数据库,SYS用户存在74个无效对象,
建议: 对无效对象进行重新编译或及时清理</t>
      </text>
    </comment>
    <comment ref="C25" authorId="0">
      <text>
        <t>轻微问题:
问题: oradb数据库,序列 JASON cache 1 小于 400,
建议: 设置CACHE为400或以上并使用NOORDER</t>
      </text>
    </comment>
    <comment ref="C29" authorId="0">
      <text>
        <t>普通问题:
问题: oradb数据库,存在密码即将过期的用户,
建议: 提前更新用户密码</t>
      </text>
    </comment>
    <comment ref="C30" authorId="0">
      <text>
        <t>轻微问题:
问题: oradb数据库,存在未设置密码复杂性校验的PROFILE,
建议: 启用密码复杂性验证以增强安全性</t>
      </text>
    </comment>
    <comment ref="C31" authorId="0">
      <text>
        <t>轻微问题:
问题: oradb数据库,存在2个DBA权限账户,
建议: 只保留一个DBA账户，收回其他DBA用户权限以增强安全性</t>
      </text>
    </comment>
    <comment ref="C39" authorId="0">
      <text>
        <t>严重问题:
问题: oradb数据库,未发现RMAN备份记录,
建议: 确认是否有其他有效备份,尽快部署RMAN备份策略</t>
      </text>
    </comment>
  </commentList>
</comments>
</file>

<file path=xl/comments3.xml><?xml version="1.0" encoding="utf-8"?>
<comments xmlns="http://schemas.openxmlformats.org/spreadsheetml/2006/main">
  <authors>
    <author>健康检查系统</author>
  </authors>
  <commentList>
    <comment ref="C11" authorId="0">
      <text>
        <t>轻微问题:
问题: oradb实例,PSU/RU最后更新日期为2021-10-20,超过2年未更新,
建议: 重要生产系统最少两年更新一次PSU或RU</t>
      </text>
    </comment>
    <comment ref="C17" authorId="0">
      <text>
        <t>普通问题:
oradb实例,归档切换每小时14次超过阈值12次,
建议: 增加redo大小及数量期望每10-20分钟切换一次</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<sst xmlns="http://schemas.openxmlformats.org/spreadsheetml/2006/main" count="255" uniqueCount="255">
  <si>
    <t>Server Info</t>
    <phoneticPr fontId="14" type="noConversion"/>
  </si>
  <si>
    <t>DataBase Info</t>
    <phoneticPr fontId="14" type="noConversion"/>
  </si>
  <si>
    <t>主机名</t>
  </si>
  <si>
    <t>内存</t>
  </si>
  <si>
    <t>数据库版本</t>
  </si>
  <si>
    <t>数据库架构</t>
  </si>
  <si>
    <t>SINGLE INSTANCE</t>
  </si>
  <si>
    <t>主备库角色</t>
  </si>
  <si>
    <t>ARCHIVELOG</t>
  </si>
  <si>
    <t>1513.200  GB</t>
  </si>
  <si>
    <t>数据库字符集</t>
  </si>
  <si>
    <t>AMERICAN_AMERICA.US7ASCII</t>
  </si>
  <si>
    <t>数据库名</t>
    <phoneticPr fontId="14" type="noConversion"/>
  </si>
  <si>
    <t>PRIMARY,MAXIMUM PERFORMANCE</t>
    <phoneticPr fontId="14" type="noConversion"/>
  </si>
  <si>
    <t>Issue summary</t>
    <phoneticPr fontId="14" type="noConversion"/>
  </si>
  <si>
    <t>其他项检查</t>
    <phoneticPr fontId="14" type="noConversion"/>
  </si>
  <si>
    <t>重要</t>
    <phoneticPr fontId="14" type="noConversion"/>
  </si>
  <si>
    <t>轻微</t>
    <phoneticPr fontId="14" type="noConversion"/>
  </si>
  <si>
    <t>主机系统分析</t>
    <phoneticPr fontId="14" type="noConversion"/>
  </si>
  <si>
    <t>Issue list</t>
    <phoneticPr fontId="14" type="noConversion"/>
  </si>
  <si>
    <t>No.</t>
    <phoneticPr fontId="14" type="noConversion"/>
  </si>
  <si>
    <t>问题描述及建议</t>
    <phoneticPr fontId="14" type="noConversion"/>
  </si>
  <si>
    <t>问题类别</t>
    <phoneticPr fontId="14" type="noConversion"/>
  </si>
  <si>
    <t>主机系统分析</t>
  </si>
  <si>
    <t>检查项</t>
    <phoneticPr fontId="14" type="noConversion"/>
  </si>
  <si>
    <t>结果</t>
    <phoneticPr fontId="14" type="noConversion"/>
  </si>
  <si>
    <t>文件系统使用率</t>
    <phoneticPr fontId="14" type="noConversion"/>
  </si>
  <si>
    <t>内核参数</t>
    <phoneticPr fontId="14" type="noConversion"/>
  </si>
  <si>
    <t>表空间使用率</t>
    <phoneticPr fontId="14" type="noConversion"/>
  </si>
  <si>
    <t>影响</t>
    <phoneticPr fontId="14" type="noConversion"/>
  </si>
  <si>
    <t>CPU负载检查</t>
    <phoneticPr fontId="14" type="noConversion"/>
  </si>
  <si>
    <t>普通</t>
    <phoneticPr fontId="14" type="noConversion"/>
  </si>
  <si>
    <t xml:space="preserve">       Health  Report</t>
    <phoneticPr fontId="14" type="noConversion"/>
  </si>
  <si>
    <t>主机名</t>
    <phoneticPr fontId="14" type="noConversion"/>
  </si>
  <si>
    <t>内存使用</t>
    <phoneticPr fontId="14" type="noConversion"/>
  </si>
  <si>
    <t>IP地址</t>
    <phoneticPr fontId="14" type="noConversion"/>
  </si>
  <si>
    <t>系统日志</t>
    <phoneticPr fontId="14" type="noConversion"/>
  </si>
  <si>
    <t>数据库架构</t>
    <phoneticPr fontId="14" type="noConversion"/>
  </si>
  <si>
    <t>系统版本</t>
    <phoneticPr fontId="14" type="noConversion"/>
  </si>
  <si>
    <t>内存</t>
    <phoneticPr fontId="14" type="noConversion"/>
  </si>
  <si>
    <t>交换分区</t>
    <phoneticPr fontId="14" type="noConversion"/>
  </si>
  <si>
    <t>ULIMIT限制</t>
    <phoneticPr fontId="14" type="noConversion"/>
  </si>
  <si>
    <t>索引资源使用率</t>
    <phoneticPr fontId="14" type="noConversion"/>
  </si>
  <si>
    <t>透明大页</t>
    <phoneticPr fontId="14" type="noConversion"/>
  </si>
  <si>
    <t>磁盘IO负载</t>
    <phoneticPr fontId="14" type="noConversion"/>
  </si>
  <si>
    <t>系统大页</t>
    <phoneticPr fontId="14" type="noConversion"/>
  </si>
  <si>
    <t>NUMA使用</t>
    <phoneticPr fontId="14" type="noConversion"/>
  </si>
  <si>
    <t>时钟同步</t>
    <phoneticPr fontId="14" type="noConversion"/>
  </si>
  <si>
    <t>时区</t>
    <phoneticPr fontId="14" type="noConversion"/>
  </si>
  <si>
    <t>数据库名称</t>
    <phoneticPr fontId="14" type="noConversion"/>
  </si>
  <si>
    <t>并行度&gt;1的表</t>
    <phoneticPr fontId="14" type="noConversion"/>
  </si>
  <si>
    <t>并行度&gt;1的索引</t>
    <phoneticPr fontId="14" type="noConversion"/>
  </si>
  <si>
    <t>数据库版本</t>
    <phoneticPr fontId="14" type="noConversion"/>
  </si>
  <si>
    <t>是否开启归档</t>
    <phoneticPr fontId="14" type="noConversion"/>
  </si>
  <si>
    <t>是否开启闪回</t>
    <phoneticPr fontId="14" type="noConversion"/>
  </si>
  <si>
    <t>数据文件数量</t>
    <phoneticPr fontId="14" type="noConversion"/>
  </si>
  <si>
    <t>表数量</t>
    <phoneticPr fontId="14" type="noConversion"/>
  </si>
  <si>
    <t>主备库角色</t>
    <phoneticPr fontId="14" type="noConversion"/>
  </si>
  <si>
    <t>用户大小</t>
    <phoneticPr fontId="14" type="noConversion"/>
  </si>
  <si>
    <t>用户状态</t>
    <phoneticPr fontId="14" type="noConversion"/>
  </si>
  <si>
    <t>用户表数量</t>
    <phoneticPr fontId="14" type="noConversion"/>
  </si>
  <si>
    <t>数据库状态</t>
    <phoneticPr fontId="14" type="noConversion"/>
  </si>
  <si>
    <t>数据库组件</t>
    <phoneticPr fontId="14" type="noConversion"/>
  </si>
  <si>
    <t>功能特性</t>
    <phoneticPr fontId="14" type="noConversion"/>
  </si>
  <si>
    <t>字符集</t>
    <phoneticPr fontId="14" type="noConversion"/>
  </si>
  <si>
    <t>数据库参数</t>
    <phoneticPr fontId="14" type="noConversion"/>
  </si>
  <si>
    <t>实例名</t>
    <phoneticPr fontId="14" type="noConversion"/>
  </si>
  <si>
    <t>监听检查</t>
    <phoneticPr fontId="14" type="noConversion"/>
  </si>
  <si>
    <t>数据库负载</t>
    <phoneticPr fontId="14" type="noConversion"/>
  </si>
  <si>
    <t>数据库补丁</t>
    <phoneticPr fontId="14" type="noConversion"/>
  </si>
  <si>
    <t>参数文件</t>
    <phoneticPr fontId="14" type="noConversion"/>
  </si>
  <si>
    <t>数据库运行效率</t>
    <phoneticPr fontId="14" type="noConversion"/>
  </si>
  <si>
    <t>CPU使用</t>
    <phoneticPr fontId="14" type="noConversion"/>
  </si>
  <si>
    <t>PSU&amp;RU</t>
    <phoneticPr fontId="14" type="noConversion"/>
  </si>
  <si>
    <t>Top等待</t>
    <phoneticPr fontId="14" type="noConversion"/>
  </si>
  <si>
    <t>Top SQL(耗时)</t>
    <phoneticPr fontId="14" type="noConversion"/>
  </si>
  <si>
    <t>CPU Info</t>
    <phoneticPr fontId="14" type="noConversion"/>
  </si>
  <si>
    <t>CPU 主频</t>
    <phoneticPr fontId="14" type="noConversion"/>
  </si>
  <si>
    <t>Selinux状态</t>
    <phoneticPr fontId="14" type="noConversion"/>
  </si>
  <si>
    <t>防火墙状态</t>
    <phoneticPr fontId="14" type="noConversion"/>
  </si>
  <si>
    <t>myzdb100</t>
  </si>
  <si>
    <t>10.0.2.15
1.1.1.100</t>
  </si>
  <si>
    <t>Linux x86_64</t>
  </si>
  <si>
    <t>Linux.Red Hat Enterprise Linux release 8.8 (Ootpa)</t>
  </si>
  <si>
    <t>12th Gen Intel(R) Core(TM) i5-12400F 4</t>
    <phoneticPr fontId="14" type="noConversion"/>
  </si>
  <si>
    <t>7 GB</t>
  </si>
  <si>
    <t>主机平台</t>
    <phoneticPr fontId="14" type="noConversion"/>
  </si>
  <si>
    <t>操作系统</t>
    <phoneticPr fontId="14" type="noConversion"/>
  </si>
  <si>
    <t>Physical Server</t>
    <phoneticPr fontId="14" type="noConversion"/>
  </si>
  <si>
    <t>Oracle Database 19c Enterprise Edition Version 19.11.0.0.0</t>
    <phoneticPr fontId="14" type="noConversion"/>
  </si>
  <si>
    <t>数据文件总大小</t>
    <phoneticPr fontId="14" type="noConversion"/>
  </si>
  <si>
    <t>集群资源状态</t>
    <phoneticPr fontId="14" type="noConversion"/>
  </si>
  <si>
    <t>OCR状态</t>
    <phoneticPr fontId="14" type="noConversion"/>
  </si>
  <si>
    <t>ASM磁盘组使用率</t>
    <phoneticPr fontId="14" type="noConversion"/>
  </si>
  <si>
    <t>数据库集群</t>
    <phoneticPr fontId="14" type="noConversion"/>
  </si>
  <si>
    <t>DataGuard</t>
    <phoneticPr fontId="14" type="noConversion"/>
  </si>
  <si>
    <t>数据库备份</t>
    <phoneticPr fontId="14" type="noConversion"/>
  </si>
  <si>
    <t>数据库安全</t>
    <phoneticPr fontId="14" type="noConversion"/>
  </si>
  <si>
    <t>主机系统</t>
    <phoneticPr fontId="14" type="noConversion"/>
  </si>
  <si>
    <t>数据库分析</t>
    <phoneticPr fontId="14" type="noConversion"/>
  </si>
  <si>
    <t>软件使用</t>
    <phoneticPr fontId="14" type="noConversion"/>
  </si>
  <si>
    <t>实例分析</t>
    <phoneticPr fontId="14" type="noConversion"/>
  </si>
  <si>
    <t>数据库性能</t>
    <phoneticPr fontId="14" type="noConversion"/>
  </si>
  <si>
    <t>数据库大小
(已使用GB)</t>
    <phoneticPr fontId="14" type="noConversion"/>
  </si>
  <si>
    <t>是否归档</t>
    <phoneticPr fontId="14" type="noConversion"/>
  </si>
  <si>
    <t xml:space="preserve"> Result</t>
    <phoneticPr fontId="14" type="noConversion"/>
  </si>
  <si>
    <t>Check Item</t>
    <phoneticPr fontId="14" type="noConversion"/>
  </si>
  <si>
    <t>RPM安全漏洞包</t>
    <phoneticPr fontId="14" type="noConversion"/>
  </si>
  <si>
    <t>ZEROCONF路由</t>
    <phoneticPr fontId="14" type="noConversion"/>
  </si>
  <si>
    <t>CPU性能模式</t>
    <phoneticPr fontId="14" type="noConversion"/>
  </si>
  <si>
    <t>lo网卡MTU</t>
    <phoneticPr fontId="14" type="noConversion"/>
  </si>
  <si>
    <t>NSSwitch配置</t>
    <phoneticPr fontId="14" type="noConversion"/>
  </si>
  <si>
    <t>数据文件状态</t>
    <phoneticPr fontId="14" type="noConversion"/>
  </si>
  <si>
    <t>控制文件冗余</t>
    <phoneticPr fontId="14" type="noConversion"/>
  </si>
  <si>
    <t>SEQUENCE设置</t>
    <phoneticPr fontId="14" type="noConversion"/>
  </si>
  <si>
    <t>SEQUENCE使用</t>
    <phoneticPr fontId="14" type="noConversion"/>
  </si>
  <si>
    <t>无效对象</t>
    <phoneticPr fontId="14" type="noConversion"/>
  </si>
  <si>
    <t>索引失效</t>
    <phoneticPr fontId="14" type="noConversion"/>
  </si>
  <si>
    <t>用户临期</t>
    <phoneticPr fontId="14" type="noConversion"/>
  </si>
  <si>
    <t>DBA权限用户</t>
    <phoneticPr fontId="14" type="noConversion"/>
  </si>
  <si>
    <t>SYSDBA权限用户</t>
    <phoneticPr fontId="14" type="noConversion"/>
  </si>
  <si>
    <t>数据库审计空间</t>
    <phoneticPr fontId="14" type="noConversion"/>
  </si>
  <si>
    <t>数据库审计对象</t>
    <phoneticPr fontId="14" type="noConversion"/>
  </si>
  <si>
    <t>业务使用系统表空间</t>
    <phoneticPr fontId="14" type="noConversion"/>
  </si>
  <si>
    <t>错误口令登录锁定</t>
    <phoneticPr fontId="14" type="noConversion"/>
  </si>
  <si>
    <t>病毒勒索攻击隐患</t>
    <phoneticPr fontId="14" type="noConversion"/>
  </si>
  <si>
    <t>SCNHealthCheck</t>
    <phoneticPr fontId="14" type="noConversion"/>
  </si>
  <si>
    <t>RMAN备份</t>
    <phoneticPr fontId="14" type="noConversion"/>
  </si>
  <si>
    <t>OCR备份</t>
    <phoneticPr fontId="14" type="noConversion"/>
  </si>
  <si>
    <t>ASM磁盘偏移</t>
    <phoneticPr fontId="14" type="noConversion"/>
  </si>
  <si>
    <t>PROFILE密码函数</t>
    <phoneticPr fontId="14" type="noConversion"/>
  </si>
  <si>
    <t>临时表空间文件</t>
    <phoneticPr fontId="14" type="noConversion"/>
  </si>
  <si>
    <t>数据库当前使用</t>
    <phoneticPr fontId="14" type="noConversion"/>
  </si>
  <si>
    <t>REDO文件</t>
    <phoneticPr fontId="14" type="noConversion"/>
  </si>
  <si>
    <t>归档切换</t>
    <phoneticPr fontId="14" type="noConversion"/>
  </si>
  <si>
    <t>闪回区使用</t>
    <phoneticPr fontId="14" type="noConversion"/>
  </si>
  <si>
    <t>数据库日志</t>
    <phoneticPr fontId="14" type="noConversion"/>
  </si>
  <si>
    <t>DG同步延迟</t>
    <phoneticPr fontId="14" type="noConversion"/>
  </si>
  <si>
    <t>DG同步报错</t>
    <phoneticPr fontId="14" type="noConversion"/>
  </si>
  <si>
    <t>闪回区空间</t>
    <phoneticPr fontId="14" type="noConversion"/>
  </si>
  <si>
    <t>游标&gt;300M</t>
    <phoneticPr fontId="14" type="noConversion"/>
  </si>
  <si>
    <t>最大资源使用</t>
    <phoneticPr fontId="14" type="noConversion"/>
  </si>
  <si>
    <t>报告日期:2006-01-01</t>
    <phoneticPr fontId="14" type="noConversion"/>
  </si>
  <si>
    <t xml:space="preserve">客户:   </t>
    <phoneticPr fontId="14" type="noConversion"/>
  </si>
  <si>
    <t>健康检查报告</t>
    <phoneticPr fontId="14" type="noConversion"/>
  </si>
  <si>
    <t>共享池使用率</t>
    <phoneticPr fontId="14" type="noConversion"/>
  </si>
  <si>
    <t>SGA内存使用</t>
    <phoneticPr fontId="14" type="noConversion"/>
  </si>
  <si>
    <t>APC2DB</t>
    <phoneticPr fontId="14" type="noConversion"/>
  </si>
  <si>
    <t xml:space="preserve">客户:     </t>
  </si>
  <si>
    <t>报告日期: 2025-09-11</t>
  </si>
  <si>
    <t>oradb11</t>
  </si>
  <si>
    <t>10.0.2.15
1.1.1.112
192.168.122.1</t>
  </si>
  <si>
    <t>Linux.CentOS Linux release 7.8.2003 (Core)</t>
  </si>
  <si>
    <t>12th Gen Intel(R) Core(TM) i5-12400F 2</t>
  </si>
  <si>
    <t>3 GB</t>
  </si>
  <si>
    <t>Virtual Machine (kvm)</t>
  </si>
  <si>
    <t>oradb</t>
  </si>
  <si>
    <t>Oracle Database 11g Enterprise Edition Release 11.2.0.3.0</t>
  </si>
  <si>
    <t>AMERICAN_AMERICA.AL32UTF8</t>
  </si>
  <si>
    <t>2GB</t>
  </si>
  <si>
    <t>NODE1</t>
  </si>
  <si>
    <t>2496.002</t>
  </si>
  <si>
    <t>1 GB</t>
  </si>
  <si>
    <t>fs.file-max                    = 6815744
fs.aio-max-nr                  = 1048576
kernel.shmmni                  = 4096
kernel.shmmax                  = 4294967295
kernel.shmall                  = 1073741824
kernel.sem                     = 250	32000	100	128
kernel.panic_on_oops           = 1
kernel.randomize_va_space      = 0
kernel.numa_balancing          = 0
net.ipv4.conf.all.rp_filter    = 1
net.ipv4.conf.default.rp_filter = 1
net.ipv4.ip_local_port_range   = 9000	65500
net.ipv4.ipfrag_high_thresh    = 4194304
net.ipv4.ipfrag_low_thresh     = 3145728
net.ipv4.tcp_keepalive_time    = 7200
net.core.rmem_default          = 4194304
net.core.rmem_max              = 4194304
net.core.wmem_default          = 262144
net.core.wmem_max              = 1048586
vm.dirty_ratio                 = 30
vm.dirty_background_ratio      = 10
vm.dirty_expire_centisecs      = 3000
vm.dirty_writeback_centisecs   = 500
vm.swappiness                  = 30
vm.min_free_kbytes             = 102400</t>
  </si>
  <si>
    <t>core file size          (blocks, -c) 0
data seg size           (kbytes, -d) unlimited
scheduling priority             (-e) 0
file size               (blocks, -f) unlimited
pending signals                 (-i) 15669
max locked memory       (kbytes, -l) unlimited
max memory size         (kbytes, -m) unlimited
open files                      (-n) 65536
pipe size            (512 bytes, -p) 8
POSIX message queues     (bytes, -q) 819200
real-time priority              (-r) 0
stack size              (kbytes, -s) 10240
cpu time               (seconds, -t) unlimited
max user processes              (-u) 4096
virtual memory          (kbytes, -v) unlimited
file locks                      (-x) unlimited</t>
  </si>
  <si>
    <t>[Wed Sep  3 16:36:49 2025] Detected CPU family 6 model 151 stepping 5
[Wed Sep  3 16:36:49 2025] Warning: Intel Processor - this hardware has not undergone upstream testing. Please consult http://wiki.centos.org/FAQ for more information
[Wed Sep  3 16:37:11 2025] ip_local_port_range: prefer different parity for start/end values.
[Wed Sep  3 16:37:18 2025] [drm:vmw_host_log [vmwgfx]] *ERROR* Failed to send host log message.
[Wed Sep  3 16:37:18 2025] [drm:vmw_host_log [vmwgfx]] *ERROR* Failed to send host log message.</t>
  </si>
  <si>
    <t>Filesystem              Type      Size  Used Avail Use% Mounted on
devtmpfs                devtmpfs  2.0G     0  2.0G   0% /dev
tmpfs                   tmpfs     2.0G     0  2.0G   0% /dev/shm
tmpfs                   tmpfs     2.0G   18M  2.0G   1% /run
tmpfs                   tmpfs     2.0G     0  2.0G   0% /sys/fs/cgroup
/dev/mapper/centos-root xfs        78G   38G   41G  48% /
/dev/sda1               xfs        97M   68M   29M  71% /boot
tmpfs                   tmpfs     396M   12K  396M   1% /run/user/42
tmpfs                   tmpfs     396M     0  396M   0% /run/user/0</t>
  </si>
  <si>
    <t>Filesystem              Inodes IUsed IFree IUse% Mounted on
devtmpfs                  490K   361  490K    1% /dev
tmpfs                     494K     1  494K    1% /dev/shm
tmpfs                     494K   628  494K    1% /run
tmpfs                     494K    16  494K    1% /sys/fs/cgroup
/dev/mapper/centos-root    39M  179K   39M    1% /
/dev/sda1                  50K   339   50K    1% /boot
tmpfs                     494K     9  494K    1% /run/user/42
tmpfs                     494K     1  494K    1% /run/user/0</t>
  </si>
  <si>
    <t>procs -----------memory---------- ---swap-- -----io---- -system-- ------cpu-----
 r  b   swpd   free   buff  cache   si   so    bi    bo   in   cs us sy id wa st
 0  0      4    186      0   2151    0    0    16    26   25    3  0  0 98  2  0
 0  0      4    186      0   2151    0    0     0    36  179  206  0  0 99  1  0
 0  0      4    186      0   2151    0    0     0    36   94  140  0  0 99  1  0
 0  0      4    186      0   2151    0    0     0    36 1268 1917  1  1 98  1  0
 0  0      4    186      0   2151    0    0     0    36 1187 1760  0  0 99  1  0</t>
  </si>
  <si>
    <t>total        used        free      shared  buff/cache   available
Mem:           3950        1720         177          16        2051        1864
Swap:          1995           3        1992
available=1864 MB</t>
  </si>
  <si>
    <t>sar -d 3 2
Linux 3.10.0-1127.el7.x86_64 (oradb11) 	09/10/2025 	_x86_64_	(2 CPU)
11:47:51 AM       DEV       tps  rd_sec/s  wr_sec/s  avgrq-sz  avgqu-sz     await     svctm     %util
11:47:54 AM    dev8-0      4.33      2.67     48.00     11.69      0.11     26.15     26.15     11.33
11:47:54 AM  dev253-0      4.33      2.67     48.00     11.69      0.11     26.15     26.15     11.33
11:47:54 AM  dev253-1      0.00      0.00      0.00      0.00      0.00      0.00      0.00      0.00
11:47:54 AM       DEV       tps  rd_sec/s  wr_sec/s  avgrq-sz  avgqu-sz     await     svctm     %util
11:47:57 AM    dev8-0      6.00      0.00     72.00     12.00      0.07     12.11     12.11      7.27
11:47:57 AM  dev253-0      6.00      0.00     72.00     12.00      0.07     12.11     12.11      7.27
11:47:57 AM  dev253-1      0.00      0.00      0.00      0.00      0.00      0.00      0.00      0.00
Average:          DEV       tps  rd_sec/s  wr_sec/s  avgrq-sz  avgqu-sz     await     svctm     %util
Average:       dev8-0      5.17      1.33     60.00     11.87      0.09     18.00     18.00      9.30
Average:     dev253-0      5.17      1.33     60.00     11.87      0.09     18.00     18.00      9.30
Average:     dev253-1      0.00      0.00      0.00      0.00      0.00      0.00      0.00      0.00</t>
  </si>
  <si>
    <t>AnonHugePages:    110592 kB
[always] madvise never</t>
  </si>
  <si>
    <t>HugePages_Total:     518
HugePages_Free:      136
HugePages_Rsvd:      131
HugePages_Surp:        0
Hugepagesize:       2048 kB</t>
  </si>
  <si>
    <t>NUMA turned off</t>
  </si>
  <si>
    <t>ntpd|chronyd is not running</t>
  </si>
  <si>
    <t>2025-09-10 11:47:57 CST +0800</t>
  </si>
  <si>
    <t>SELinux status:                 disabled
/etc/selinux/config
SELINUX=disabled
SELINUXTYPE=targeted</t>
  </si>
  <si>
    <t>firewalld/iptables is not running</t>
  </si>
  <si>
    <t>No NIS configuration found in /etc/nsswitch.conf</t>
  </si>
  <si>
    <t>mtu 65536</t>
  </si>
  <si>
    <t>Virtual machine detected - CPU performance mode check skipped</t>
  </si>
  <si>
    <t>NOZEROCONF=yes is configured</t>
  </si>
  <si>
    <t>freetype-2.8-14.el7.x86_64
libsmbclient-4.10.4-10.el7.x86_64
ghostscript-cups-9.25-2.el7_7.3.x86_64
samba-common-4.10.4-10.el7.noarch
samba-client-libs-4.10.4-10.el7.x86_64
freetype-devel-2.8-14.el7.x86_64
ghostscript-9.25-2.el7_7.3.x86_64
open-vm-tools-desktop-10.3.10-2.el7.x86_64
samba-common-libs-4.10.4-10.el7.x86_64
open-vm-tools-10.3.10-2.el7.x86_64
firefox-68.5.0-2.el7.centos.x86_64
libwbclient-4.10.4-10.el7.x86_64
samba-libs-4.10.4-10.el7.x86_64</t>
  </si>
  <si>
    <t>DB_UNIQUE_NAME   OPEN_MODE  LOG_MODE     PROTECTION_LEVEL     DATABASE_ROLE    SWITCHOVER_STATUS
---------------- ---------- ------------ -------------------- ---------------- ------------------
oradb            READ WRITE ARCHIVELOG   MAXIMUM PERFORMANCE  PRIMARY          FAILED DESTINATION</t>
  </si>
  <si>
    <t>NO</t>
  </si>
  <si>
    <t>3.77GB</t>
  </si>
  <si>
    <t>FILE_CNT DB_FILES_LIMIT
---------- ----------------
         6 200</t>
  </si>
  <si>
    <t>FILE_NAME                                                              STATUS        CUR_GB AUT    MAX_GB
---------------------------------------------------------------------- ------------ ------- --- ---------
/u01/app/oracle/oradata/oradb/example01.dbf                            AVAILABLE        .34 YES     32.00
/u01/app/oracle/oradata/oradb/sysaux01.dbf                             AVAILABLE        .81 YES     32.00
/u01/app/oracle/oradata/oradb/system01.dbf                             AVAILABLE        .74 YES     32.00
/u01/app/oracle/oradata/oradb/undotbs01.dbf                            AVAILABLE        .87 YES     32.00
/u01/app/oracle/oradata/oradb/users01.dbf                              AVAILABLE        .39 YES     32.00</t>
  </si>
  <si>
    <t>TMP_CNT          GB
-------- -----------
       1         .03</t>
  </si>
  <si>
    <t>2,939</t>
  </si>
  <si>
    <t>TABLESPACE_NAME          MAXEXTEND(GB) ALLOCATED(GB)  USED(GB)  Free(GB) USED_RATE(%)
------------------------ ------------- ------------- --------- --------- ------------
SYSAUX                           32.00           .81       .72       .09         2.24
UNDOTBS1                         32.00           .87       .02       .85          .07
EXAMPLE                          32.00           .34       .02       .31          .07
SYSTEM                           32.00           .74       .72       .02         2.25
USERS                            32.00           .39       .37       .03         1.15</t>
  </si>
  <si>
    <t>/u01/app/oracle/oradata/oradb/control01.ctl
/u01/app/oracle/oradata/oradb/control02.ctl</t>
  </si>
  <si>
    <t>USERNAME                  ACCOUNT_STATUS   DEFAULT_TABLESPACE   TEMPORARY_TABLESPACE PROFILE
------------------------- ---------------- -------------------- -------------------- ------------
EAMON                     OPEN             USERS                TEMP                 DEFAULT
JASON                     OPEN             USERS                TEMP                 DEFAULT
MON                       OPEN             USERS                TEMP                 DEFAULT
OGG                       OPEN             USERS                TEMP                 DEFAULT</t>
  </si>
  <si>
    <t>OWNER                             GB
------------------------- ----------
JASON                            .05</t>
  </si>
  <si>
    <t>OWNER                      TABLE_CNT
------------------------- ----------
JASON                              5</t>
  </si>
  <si>
    <t>无记录</t>
  </si>
  <si>
    <t>OWNER                          OBJECT_TYPE  OBJ_COUNT
------------------------------ ------------ ---------
DBSNMP                         VIEW                 2
PUBLIC                         SYNONYM             93
SYS                            PACKAGE              2
SYS                            PACKAGE BODY         8
SYS                            VIEW                74</t>
  </si>
  <si>
    <t>SEQUENCE_OWNER  CNT_LESS_200
--------------- ------------
JASON                      1</t>
  </si>
  <si>
    <t>OPTION                                        VALUE
--------------------------------------------- --------
Active Data Guard                             TRUE
Advanced Compression                          TRUE
Advanced replication                          TRUE
Application Role                              TRUE
Automatic Storage Management                  FALSE
Backup Encryption                             TRUE
Basic Compression                             TRUE
Bit-mapped indexes                            TRUE
Block Change Tracking                         TRUE
Block Media Recovery                          TRUE
Change Data Capture                           TRUE
Coalesce Index                                TRUE
Connection multiplexing                       TRUE
Connection pooling                            TRUE
DICOM                                         TRUE
Data Mining                                   TRUE
Database queuing                              TRUE
Database resource manager                     TRUE
Deferred Segment Creation                     TRUE
Duplexed backups                              TRUE
Enterprise User Security                      TRUE
Export transportable tablespaces              TRUE
Fast-Start Fault Recovery                     TRUE
File Mapping                                  TRUE
Fine-grained Auditing                         TRUE
Fine-grained access control                   TRUE
Flashback Data Archive                        TRUE
Flashback Database                            TRUE
Flashback Table                               TRUE
Incremental backup and recovery               TRUE
Instead-of triggers                           TRUE
Java                                          TRUE
Join index                                    TRUE
Managed Standby                               TRUE
Materialized view rewrite                     TRUE
OLAP                                          TRUE
OLAP Window Functions                         TRUE
Objects                                       TRUE
Online Index Build                            TRUE
Online Redefinition                           TRUE
Oracle Data Guard                             TRUE
Oracle Database Vault                         FALSE
Oracle Label Security                         FALSE
Parallel backup and recovery                  TRUE
Parallel execution                            TRUE
Parallel load                                 TRUE
Partitioning                                  TRUE
Plan Stability                                TRUE
Point-in-time tablespace recovery             TRUE
Proxy authentication/authorization            TRUE
Real Application Clusters                     FALSE
Real Application Testing                      TRUE
Result Cache                                  TRUE
SQL Plan Management                           TRUE
Sample Scan                                   TRUE
SecureFiles Encryption                        TRUE
Server Flash Cache                            TRUE
Spatial                                       TRUE
Streams Capture                               TRUE
Transparent Application Failover              TRUE
Transparent Data Encryption                   TRUE
Trial Recovery                                TRUE
Unused Block Compression                      TRUE
XStream                                       TRUE</t>
  </si>
  <si>
    <t>NAME                                                         LAST_USAGE_DATE
------------------------------------------------------------ --------------------
Virtual Private Database (VPD)                               2025-09-07 03:45:29
Services                                                     2025-09-07 03:45:29
Server Parameter File                                        2025-09-07 03:45:29
SecureFiles (user)                                           2025-09-07 03:45:29
SecureFiles (system)                                         2025-09-07 03:45:29
Recovery Area                                                2025-09-07 03:45:29
Partitioning (user)                                          2025-09-07 03:45:29
Partitioning (system)                                        2025-09-07 03:45:29
Oracle Java Virtual Machine (system)                         2025-09-07 03:45:29
Locally Managed Tablespaces (user)                           2025-09-07 03:45:29
Locally Managed Tablespaces (system)                         2025-09-07 03:45:29
Deferred Segment Creation                                    2025-09-07 03:45:29
Character Set                                                2025-09-07 03:45:29
Automatic Undo Management                                    2025-09-07 03:45:29
Automatic Segment Space Management (system)                  2025-09-07 03:45:29
Automatic SQL Tuning Advisor                                 2025-09-07 03:45:29
Automatic SQL Execution Memory                               2025-09-07 03:45:29
Automatic SGA Tuning                                         2025-09-07 03:45:29
Automatic Maintenance - Space Advisor                        2025-09-07 03:45:29
Automatic Maintenance - SQL Tuning Advisor                   2025-09-07 03:45:29
Automatic Maintenance - Optimizer Statistics Gathering       2025-09-07 03:45:29
Audit Options                                                2025-09-07 03:45:29</t>
  </si>
  <si>
    <t>USERNAME                       EXPIRY_DATE
------------------------------ -------------------
EAMON                          2024-04-24 15:05:05
MON                            2024-04-24 14:40:33</t>
  </si>
  <si>
    <t>PROFILE              LIMIT
-------------------- ------------------------------
DEFAULT              NULL</t>
  </si>
  <si>
    <t>GRANTEE                   GRANTED_ROLE    ADMIN_OPTION
------------------------- --------------- ---------------
OGG                       DBA             NO
JASON                     DBA             NO</t>
  </si>
  <si>
    <t>AUDCNT
-------------
         1105</t>
  </si>
  <si>
    <t/>
  </si>
  <si>
    <t>--------------------------------------------------------------
ScnHealthCheck
--------------------------------------------------------------
Current Date: 2025/09/10 11:48:32
Current SCN:   69769139
Version:       11.2.0.3.0
--------------------------------------------------------------
Result: A - SCN Headroom is good
Apply the latest recommended patches
based on your maintenance schedule
For further information review MOS document id 1393363.1
--------------------------------------------------------------</t>
  </si>
  <si>
    <t>SQL_ID        SQL_TEXT                                                 ELAPSED_SECONDS       EXECUTIONS Ela(s)_per Cpu(s)_per
------------- ------------------------------------------------------- ---------------- ---------------- ---------- ----------
b6usrg82hwsa3 call dbms_stats.gather_database_stats_job_proc (  )                   54                7       7.77       3.96
6mcpb06rctk0x call dbms_space.auto_space_advisor_job_proc (  )                       9                7       1.23        .72
5zruc4v6y32f9 DECLARE job BINARY_INTEGER := :job;  next_date TIMESTAM                7                3       2.32         .5
              P WITH TIME ZONE := :myda
05s9358mm6vrr begin dbms_feature_usage_internal.exec_db_usage_samplin                6                1       6.07        2.1
              g(:bind1); end;
dbvkky621gqtr SELECT /*+ parallel */ EXTRACTVALUE(VALUE(T), '/select_                6              450        .01        .01
              list_item/pos') + 1 POS,</t>
  </si>
  <si>
    <t>SGA_MAX_SIZE(G) SGA_TARGET(G) SHARED_POOL_SIZE(G) SHARED_POOL_FREE(G) CACHE_SIZE(G)
--------------- ------------- ------------------- ------------------- -------------
              1           .78                  .3                 .03           .39</t>
  </si>
  <si>
    <t>SHARED_POOL_USAGE_PCT(%)
------------------------
                      51</t>
  </si>
  <si>
    <t>RESOURCE_NAME             CURRENT_UTILIZATION  MAX_UTILIZATION LIMIT_VALUE
------------------------- ------------------- ---------------- ---------------
processes                                  36               47        100
sessions                                   48               64        172
ges_procs                                   0                0          0
ges_rsv_msgs                                0                0          0
parallel_max_servers                        0                0       3600</t>
  </si>
  <si>
    <t>ACTION_TIM ACTION       NAMESPACE  VERSION                COMMENTS
---------- ------------ ---------- ---------------------- ---------------------------------------------
2011-09-17 APPLY        SERVER     11.2.0.3               Patchset 11.2.0.2.0
2021-10-20 APPLY        SERVER     11.2.0.3               Patchset 11.2.0.2.0
2021-10-20 APPLY        SERVER     11.2.0.3               PSU 11.2.0.3.3</t>
  </si>
  <si>
    <t>16856028;
13923374;Database Patch Set Update : 11.2.0.3.3 (13923374)
OPatch succeeded.</t>
  </si>
  <si>
    <t>oracle   11967     1  0 Sep04 ?        00:00:15 /u01/app/oracle/product/11/db_1/bin/tnslsnr LISTENER -inherit
LSNRCTL for Linux: Version 11.2.0.3.0 - Production on 10-SEP-2025 11:48:56
Copyright (c) 1991, 2011, Oracle.  All rights reserved.
Connecting to (DESCRIPTION=(ADDRESS=(PROTOCOL=TCP)(HOST=oradb11)(PORT=1521)))
STATUS of the LISTENER
------------------------
Alias                     LISTENER
Version                   TNSLSNR for Linux: Version 11.2.0.3.0 - Production
Start Date                04-SEP-2025 15:43:42
Uptime                    5 days 20 hr. 5 min. 13 sec
Trace Level               off
Security                  ON: Local OS Authentication
SNMP                      OFF
Listener Parameter File   /u01/app/oracle/product/11/db_1/network/admin/listener.ora
Listener Log File         /u01/app/oracle/diag/tnslsnr/oradb11/listener/alert/log.xml
Listening Endpoints Summary...
  (DESCRIPTION=(ADDRESS=(PROTOCOL=tcp)(HOST=oradb11)(PORT=1521)))
  (DESCRIPTION=(ADDRESS=(PROTOCOL=ipc)(KEY=EXTPROC1521)))
Services Summary...
Service "PLSExtProc" has 1 instance(s).
  Instance "PLSExtProc", status UNKNOWN, has 1 handler(s) for this service...
Service "oradb" has 2 instance(s).
  Instance "oradb", status UNKNOWN, has 1 handler(s) for this service...
  Instance "oradb", status READY, has 1 handler(s) for this service...
Service "oradbXDB" has 1 instance(s).
  Instance "oradb", status READY, has 1 handler(s) for this service...
The command completed successfully
size=7089380 bytes, file=/u01/app/oracle/../oracle/diag/tnslsnr/oradb11/listener/trace/listener.log</t>
  </si>
  <si>
    <t>PARAMETER
--------------------------------------------------------------------------------------------------------------------------------------------
_shared_pool_reserved_pct = 5
background_dump_dest = /u01/app/oracle/diag/rdbms/oradb/oradb/trace
control_file_record_keep_time = 7
db_cache_size = 209715200
db_file_name_convert = /u01/app/oracle/oradata/oradbdg/, /u01/app/oracle/oradata/oradb/
db_files = 200
deferred_segment_creation = TRUE
event =
fal_server = ORADBDG
log_archive_config = DG_CONFIG =(oradb,oradbdg,dstdb)
log_archive_dest_1 = LOCATION=/arch/oradb VALID_FOR=(ALL_LOGFILES,ALL_ROLES)
log_archive_dest_2 = SERVICE=oradbdg LGWR ASYNC NOAFFIRM VALID_FOR=(ONLINE_LOGFILES,PRIMARY_ROLE) DB_UNIQUE_NAME=oradbdg
log_archive_dest_3 = SERVICE=dstdb lgwr ASYNC VALID_FOR=(ONLINE_LOGFILES,PRIMARY_ROLE) REOPEN=10 DB_UNIQUE_NAME=dstdb
log_archive_dest_4 =
log_archive_dest_state_1 = enable
log_archive_dest_state_2 = ENABLE
log_archive_dest_state_3 = DEFER
log_archive_dest_state_4 = enable
log_file_name_convert = /u01/app/oracle/oradata/oradbdg/, /u01/app/oracle/oradata/oradb/
max_dump_file_size = unlimited
memory_max_target = 0
memory_target = 0
parallel_force_local = FALSE
parallel_max_servers = 16
pga_aggregate_target = 1073741824
processes = 100
session_cached_cursors = 2000
sga_max_size = 1073741824
sga_target = 838860800
shared_pool_size = 167772160
streams_pool_size = 0
undo_retention = 900
user_dump_dest = /u01/app/oracle/diag/rdbms/oradb/oradb/trace</t>
  </si>
  <si>
    <t>/tmp/eav2/20250910_oradb11/20250910_oradb11.oradb.ora</t>
  </si>
  <si>
    <t>GROUP# THREAD#                  SEQUENCE#         MB ARCHIVED   STATUS
------ ------- -------------------------- ---------- ---------- ----------------
     1       1                        217      200.0 NO         CURRENT
     3       1                        216      200.0 YES        INACTIVE
     2       1                        215      200.0 YES        INACTIVE</t>
  </si>
  <si>
    <t>DT    DY  Total   h0   h1   h2   h3   h4   h5   h6   h7   h8   h9  h10  h11  h12  h13  h14  h15  h16  h17  h18  h19  h20  h21  h22  h23
----- --- ----- ---- ---- ---- ---- ---- ---- ---- ---- ---- ---- ---- ---- ---- ---- ---- ---- ---- ---- ---- ---- ---- ---- ---- ----
01/09 Mon     1    0    0    0    0    1    0    0    0    0    0    0    0    0    0    0    0    0    0    0    0    0    0    0    0
02/09 Tue     1    0    0    0    0    0    0    0    0    0    0    0    0    1    0    0    0    0    0    0    0    0    0    0    0
03/09 Wed   104    0    0    0    0    0    0    0    0    0    0    0    0    0    6   14   16   24   10    3    0   20   11    0    0
04/09 Thu    23    0    9    1    0    0    0    0    0    0    0    3    2    0    0    0    4    4    0    0    0    0    0    0    0
06/09 Sat     1    0    1    0    0    0    0    0    0    0    0    0    0    0    0    0    0    0    0    0    0    0    0    0    0
24/08 Sun     1    0    0    0    0    0    0    0    0    0    0    0    0    1    0    0    0    0    0    0    0    0    0    0    0
26/08 Tue     1    0    0    0    0    0    0    0    0    1    0    0    0    0    0    0    0    0    0    0    0    0    0    0    0
28/08 Thu     1    0    0    0    1    0    0    0    0    0    0    0    0    0    0    0    0    0    0    0    0    0    0    0    0
29/08 Fri     1    0    0    0    0    0    0    0    0    1    0    0    0    0    0    0    0    0    0    0    0    0    0    0    0
30/08 Sat     1    0    0    0    0    0    0    0    0    0    0    0    0    0    0    0    0    0    1    0    0    0    0    0    0</t>
  </si>
  <si>
    <t>NAME                                               LIMIT_GB     USED_GB USED_PERCENT(%)
--------------------------------------------- ------------- ----------- ---------------
/arch/fra                                             50.00         .00               0</t>
  </si>
  <si>
    <t>FILE_TYPE                                PERCENT_SPACE_RECLAIMABLE PERCENT_SPACE_USED
---------------------------------------- ------------------------- ------------------
CONTROL FILE                                                     0                  0
REDO LOG                                                         0                  0
ARCHIVED LOG                                                     0                  0
BACKUP PIECE                                                     0                  0
IMAGE COPY                                                       0                  0
FLASHBACK LOG                                                    0                  0
FOREIGN ARCHIVED LOG                                             0                  0</t>
  </si>
  <si>
    <t>no rows selected</t>
  </si>
  <si>
    <t>THREAD# Last Primary Seq Generated
---------- --------------------------
         1                        216</t>
  </si>
  <si>
    <t>严重</t>
  </si>
  <si>
    <t>问题: oradb11主机,可用内存当前1864 MB小于严重阈值2048 MB,
建议: 需尽快增加内存或优化内存使用</t>
  </si>
  <si>
    <t>问题: oradb数据库,未发现RMAN备份记录,
建议: 确认是否有其他有效备份,尽快部署RMAN备份策略</t>
  </si>
  <si>
    <t>资源限制</t>
  </si>
  <si>
    <t>问题: oradb11主机,max user processes限制当前值4096小于阈值16384,
建议: 设置max user processes=16384</t>
  </si>
  <si>
    <t>问题: oradb11主机,sem参数总信号量当前32000小于阈值[250 256000 100 1024],
建议: 调整sem参数</t>
  </si>
  <si>
    <t>主机透明大页检查</t>
  </si>
  <si>
    <t>问题: oradb11主机,透明大页当前配置为[always] madvise never,
建议: 关闭透明大页功能以提升系统稳定性</t>
  </si>
  <si>
    <t>NSSwitch配置检查</t>
  </si>
  <si>
    <t>问题: oradb11主机,NSSwitch配置中发现NIS配置,
建议: 移除NIS配置以提升系统安全性</t>
  </si>
  <si>
    <t>lo网卡MTU检查</t>
  </si>
  <si>
    <t>问题: oradb11主机,LO网卡MTU值当前为65536,超过16384,
建议: 调整为16384或更小值以提升网络性能</t>
  </si>
  <si>
    <t>安全漏洞RPM包检查</t>
  </si>
  <si>
    <t>问题: oradb11主机,检测到安装了存在安全风险的RPM包
freetype-2.8-14.el7.x86_64
libsmbclient-4.10.4-10.el7.x86_64
ghostscript-cups-9.25-2.el7_7.3.x86_64
samba-common-4.10.4-10.el7.noarch
samba-client-libs-4.10.4-10.el7.x86_64
freetype-devel-2.8-14.el7.x86_64
ghostscript-9.25-2.el7_7.3.x86_64
open-vm-tools-desktop-10.3.10-2.el7.x86_64
samba-common-libs-4.10.4-10.el7.x86_64
open-vm-tools-10.3.10-2.el7.x86_64
firefox-68.5.0-2.el7.centos.x86_64
libwbclient-4.10.4-10.el7.x86_64
samba-libs-4.10.4-10.el7.x86_64,
建议: 移除存在安全隐患的RPM包以提升系统安全性</t>
  </si>
  <si>
    <t>问题: oradb11主机,swappiness参数当前值30大于阈值1,
建议: 设置swappiness=1</t>
  </si>
  <si>
    <t>序列最大值使用检查</t>
  </si>
  <si>
    <t>问题: oradb数据库,SEQUENCE JASON 当前值达到最大值限制的80%,
建议: 尽快修改</t>
  </si>
  <si>
    <t>归档切换检查</t>
  </si>
  <si>
    <t>oradb实例,归档切换每小时14次超过阈值12次,
建议: 增加redo大小及数量期望每10-20分钟切换一次</t>
  </si>
  <si>
    <t>数据库用户临期检查</t>
  </si>
  <si>
    <t>问题: oradb数据库,存在密码即将过期的用户,
建议: 提前更新用户密码</t>
  </si>
  <si>
    <t>问题: oradb11主机,ipfrag_high_thresh参数当前值4194304小于阈值16777216,
建议: 设置ipfrag_high_thresh=16777216</t>
  </si>
  <si>
    <t>问题: oradb11主机,ipfrag_low_thresh参数当前值3145728小于阈值15728640,
建议: 设置ipfrag_low_thresh=15728640</t>
  </si>
  <si>
    <t>无效对象检查</t>
  </si>
  <si>
    <t>问题: oradb数据库,SYS用户存在74个无效对象,
建议: 对无效对象进行重新编译或及时清理</t>
  </si>
  <si>
    <t>SEQUENCE序列设置检查</t>
  </si>
  <si>
    <t>问题: oradb数据库,序列 JASON cache 1 小于 400,
建议: 设置CACHE为400或以上并使用NOORDER</t>
  </si>
  <si>
    <t>问题: oradb数据库,PUBLIC用户存在93个无效对象,
建议: 对无效对象进行重新编译或及时清理</t>
  </si>
  <si>
    <t>PROFILE密码复杂性验证</t>
  </si>
  <si>
    <t>问题: oradb数据库,存在未设置密码复杂性校验的PROFILE,
建议: 启用密码复杂性验证以增强安全性</t>
  </si>
  <si>
    <t>具有DBA权限的账户检查</t>
  </si>
  <si>
    <t>问题: oradb数据库,存在2个DBA权限账户,
建议: 只保留一个DBA账户，收回其他DBA用户权限以增强安全性</t>
  </si>
  <si>
    <t>数据库PSU补丁集检查</t>
  </si>
  <si>
    <t>问题: oradb实例,PSU/RU最后更新日期为2021-10-20,超过2年未更新,
建议: 重要生产系统最少两年更新一次PSU或RU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</si>
</sst>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7" formatCode="&quot;$&quot;#,##0.00_);\(&quot;$&quot;#,##0.00\)"/>
    <numFmt numFmtId="44" formatCode="_(&quot;$&quot;* #,##0.00_);_(&quot;$&quot;* \(#,##0.00\);_(&quot;$&quot;* &quot;-&quot;??_);_(@_)"/>
    <numFmt numFmtId="176" formatCode="0.00_);[Red]\(0.00\)"/>
  </numFmts>
  <fonts count="47">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val="1"/>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val="1"/>
      <sz val="18"/>
      <color theme="2" tint="-0.499984740745262"/>
      <name val="Corbel"/>
      <family val="2"/>
      <scheme val="minor"/>
    </font>
    <font>
      <b val="1"/>
      <sz val="12"/>
      <color theme="1"/>
      <name val="Corbel"/>
      <family val="2"/>
      <scheme val="minor"/>
    </font>
    <font>
      <sz val="9"/>
      <name val="宋体"/>
      <family val="3"/>
      <charset val="134"/>
      <scheme val="minor"/>
    </font>
    <font>
      <b val="1"/>
      <sz val="36"/>
      <color theme="1"/>
      <name val="Impact"/>
      <family val="2"/>
    </font>
    <font>
      <b val="1"/>
      <sz val="36"/>
      <color theme="1"/>
      <name val="等线"/>
      <family val="2"/>
      <charset val="134"/>
    </font>
    <font>
      <sz val="32"/>
      <color theme="2" tint="-0.499984740745262"/>
      <name val="Impact"/>
      <family val="2"/>
    </font>
    <font>
      <sz val="11"/>
      <color theme="3"/>
      <name val="宋体"/>
      <family val="2"/>
      <charset val="134"/>
    </font>
    <font>
      <b val="1"/>
      <sz val="12"/>
      <color theme="1"/>
      <name val="微软雅黑"/>
      <family val="2"/>
      <charset val="134"/>
      <scheme val="minor"/>
    </font>
    <font>
      <b val="1"/>
      <sz val="12"/>
      <color theme="1"/>
      <name val="宋体"/>
      <family val="2"/>
      <charset val="134"/>
    </font>
    <font>
      <sz val="11"/>
      <color theme="1"/>
      <name val="Microsoft YaHei Light"/>
      <family val="2"/>
      <charset val="134"/>
    </font>
    <font>
      <sz val="11"/>
      <color theme="3"/>
      <name val="Microsoft YaHei Light"/>
      <family val="2"/>
      <charset val="134"/>
    </font>
    <font>
      <b val="1"/>
      <sz val="11"/>
      <color theme="3"/>
      <name val="Microsoft YaHei Light"/>
      <family val="2"/>
      <charset val="134"/>
    </font>
    <font>
      <sz val="32"/>
      <color theme="6"/>
      <name val="Impact"/>
      <family val="2"/>
    </font>
    <font>
      <sz val="11"/>
      <color theme="1"/>
      <name val="Calibri"/>
      <family val="2"/>
    </font>
    <font>
      <sz val="9"/>
      <color theme="1"/>
      <name val="Microsoft YaHei Light"/>
      <family val="2"/>
      <charset val="134"/>
    </font>
    <font>
      <b val="1"/>
      <sz val="12"/>
      <color theme="0"/>
      <name val="宋体"/>
      <family val="2"/>
      <charset val="134"/>
    </font>
    <font>
      <sz val="8"/>
      <color theme="1"/>
      <name val="Cascadia Code Light"/>
      <family val="3"/>
    </font>
    <font>
      <sz val="9"/>
      <color rgb="FF0066FF"/>
      <name val="Corbel"/>
      <family val="2"/>
      <scheme val="minor"/>
    </font>
    <font>
      <sz val="9"/>
      <color rgb="FF0066FF"/>
      <name val="Microsoft YaHei Light"/>
      <family val="2"/>
      <charset val="134"/>
    </font>
    <font>
      <sz val="10"/>
      <color theme="1"/>
      <name val="Calibri"/>
      <family val="2"/>
    </font>
    <font>
      <sz val="12"/>
      <color theme="1"/>
      <name val="等线"/>
      <family val="3"/>
      <charset val="134"/>
    </font>
    <font>
      <sz val="12"/>
      <color theme="0"/>
      <name val="等线"/>
      <family val="3"/>
      <charset val="134"/>
    </font>
    <font>
      <b val="1"/>
      <sz val="11"/>
      <color theme="0"/>
      <name val="等线"/>
      <family val="3"/>
      <charset val="134"/>
    </font>
    <font>
      <sz val="12"/>
      <color theme="1"/>
      <name val="Cascadia Code Light"/>
      <family val="3"/>
    </font>
    <font>
      <sz val="11"/>
      <color theme="0"/>
      <name val="等线"/>
      <family val="3"/>
      <charset val="134"/>
    </font>
    <font>
      <b val="1"/>
      <sz val="12"/>
      <color theme="0"/>
      <name val="等线"/>
      <family val="3"/>
      <charset val="134"/>
    </font>
    <font>
      <u/>
      <sz val="10"/>
      <color theme="3"/>
      <name val="仿宋"/>
      <family val="3"/>
      <charset val="134"/>
    </font>
    <font>
      <sz val="7"/>
      <color theme="1"/>
      <name val="Cascadia Code Light"/>
      <family val="3"/>
    </font>
    <font>
      <u/>
      <sz val="9"/>
      <color theme="1"/>
      <name val="Microsoft YaHei Light"/>
      <family val="2"/>
      <charset val="134"/>
    </font>
    <font>
      <sz val="11"/>
      <color theme="3"/>
      <name val="宋体"/>
      <family val="3"/>
      <charset val="134"/>
      <scheme val="minor"/>
    </font>
    <font>
      <sz val="11"/>
      <color theme="7" tint="0.7999816888943144"/>
      <name val="Corbel"/>
      <family val="2"/>
    </font>
    <font>
      <sz val="11"/>
      <color theme="1"/>
      <name val="Corbel"/>
      <family val="2"/>
    </font>
    <font>
      <u/>
      <sz val="9"/>
      <color theme="1"/>
      <name val="仿宋"/>
      <family val="3"/>
      <charset val="134"/>
    </font>
    <font>
      <sz val="10"/>
      <color theme="3"/>
      <name val="Cascadia Code Light"/>
      <family val="3"/>
    </font>
    <font>
      <sz val="8"/>
      <color/>
      <name val="Cascadia Code Light"/>
      <family val="2"/>
    </font>
  </fonts>
  <fills count="12">
    <fill>
      <patternFill patternType="none"/>
    </fill>
    <fill>
      <patternFill patternType="gray125"/>
    </fill>
    <fill>
      <patternFill patternType="solid">
        <fgColor theme="0"/>
        <bgColor indexed="64"/>
      </patternFill>
    </fill>
    <fill>
      <patternFill patternType="solid">
        <fgColor theme="7" tint="0.7999816888943144"/>
        <bgColor indexed="65"/>
      </patternFill>
    </fill>
    <fill>
      <patternFill patternType="solid">
        <fgColor rgb="FFEAEAEA"/>
        <bgColor indexed="64"/>
      </patternFill>
    </fill>
    <fill>
      <patternFill patternType="solid">
        <fgColor theme="0" tint="-0.0499893185216834"/>
        <bgColor indexed="64"/>
      </patternFill>
    </fill>
    <fill>
      <patternFill patternType="solid">
        <fgColor theme="0" tint="-0.0499893185216834"/>
        <bgColor theme="0" tint="-0.14993743705557422"/>
      </patternFill>
    </fill>
    <fill>
      <patternFill patternType="solid">
        <fgColor theme="1" tint="0.499984740745262"/>
        <bgColor indexed="64"/>
      </patternFill>
    </fill>
    <fill>
      <patternFill patternType="solid">
        <fgColor rgb="FF555555"/>
      </patternFill>
    </fill>
    <fill>
      <patternFill patternType="solid">
        <fgColor rgb="FF00B0F0"/>
      </patternFill>
    </fill>
    <fill>
      <patternFill patternType="solid">
        <fgColor rgb="FFEBA8A5"/>
      </patternFill>
    </fill>
    <fill>
      <patternFill patternType="solid">
        <fgColor rgb="FFB3DEE3"/>
      </patternFill>
    </fill>
  </fills>
  <borders count="31">
    <border>
      <left/>
      <right/>
      <top/>
      <bottom/>
      <diagonal/>
    </border>
    <border>
      <left/>
      <right/>
      <top style="thick">
        <color theme="2" tint="-0.499984740745262"/>
      </top>
      <bottom/>
      <diagonal/>
    </border>
    <border>
      <left/>
      <right/>
      <top/>
      <bottom style="thick">
        <color theme="2" tint="-0.499984740745262"/>
      </bottom>
      <diagonal/>
    </border>
    <border>
      <left/>
      <right/>
      <top style="dotted">
        <color theme="2" tint="-0.499984740745262"/>
      </top>
      <bottom style="dotted">
        <color theme="2" tint="-0.499984740745262"/>
      </bottom>
      <diagonal/>
    </border>
    <border>
      <left style="thin">
        <color rgb="FF000000"/>
      </left>
      <right style="thin">
        <color rgb="FF000000"/>
      </right>
      <top style="thin">
        <color rgb="FF000000"/>
      </top>
      <bottom style="thin">
        <color rgb="FF000000"/>
      </bottom>
      <diagonal/>
    </border>
    <border>
      <left/>
      <right/>
      <top style="dotted">
        <color theme="2" tint="-0.499984740745262"/>
      </top>
      <bottom/>
      <diagonal/>
    </border>
    <border>
      <left/>
      <right/>
      <top/>
      <bottom style="hair">
        <color theme="1" tint="0.3499862666707358"/>
      </bottom>
      <diagonal/>
    </border>
    <border>
      <left/>
      <right/>
      <top style="hair">
        <color theme="1" tint="0.3499862666707358"/>
      </top>
      <bottom style="hair">
        <color theme="1" tint="0.3499862666707358"/>
      </bottom>
      <diagonal/>
    </border>
    <border>
      <left/>
      <right/>
      <top style="hair">
        <color theme="1" tint="0.3499862666707358"/>
      </top>
      <bottom style="thick">
        <color theme="2" tint="-0.499984740745262"/>
      </bottom>
      <diagonal/>
    </border>
    <border>
      <left style="thin">
        <color theme="6"/>
      </left>
      <right style="thin">
        <color theme="6"/>
      </right>
      <top/>
      <bottom style="hair">
        <color indexed="64"/>
      </bottom>
      <diagonal/>
    </border>
    <border>
      <left/>
      <right/>
      <top style="thick">
        <color theme="2" tint="-0.499984740745262"/>
      </top>
      <bottom style="dotted">
        <color theme="2" tint="-0.499984740745262"/>
      </bottom>
      <diagonal/>
    </border>
    <border>
      <left/>
      <right/>
      <top/>
      <bottom style="thin">
        <color theme="0" tint="-0.1499984740745262"/>
      </bottom>
      <diagonal/>
    </border>
    <border>
      <left/>
      <right style="thin">
        <color theme="6"/>
      </right>
      <top/>
      <bottom style="hair">
        <color indexed="64"/>
      </bottom>
      <diagonal/>
    </border>
    <border>
      <left style="thin">
        <color theme="6"/>
      </left>
      <right style="thin">
        <color theme="6"/>
      </right>
      <top/>
      <bottom style="thin">
        <color theme="6"/>
      </bottom>
      <diagonal/>
    </border>
    <border>
      <left style="thin">
        <color rgb="FF000000"/>
      </left>
      <right style="thin">
        <color theme="2" tint="-0.249977111117893"/>
      </right>
      <top style="thin">
        <color theme="0" tint="-0.1499984740745262"/>
      </top>
      <bottom style="thin">
        <color theme="6"/>
      </bottom>
      <diagonal/>
    </border>
    <border>
      <left/>
      <right style="thin">
        <color theme="6"/>
      </right>
      <top/>
      <bottom style="thin">
        <color theme="6"/>
      </bottom>
      <diagonal/>
    </border>
    <border>
      <left style="thin">
        <color rgb="FF000000"/>
      </left>
      <right style="thin">
        <color theme="2" tint="-0.249977111117893"/>
      </right>
      <top style="thin">
        <color rgb="FF000000"/>
      </top>
      <bottom style="hair">
        <color indexed="64"/>
      </bottom>
      <diagonal/>
    </border>
    <border>
      <left style="thin">
        <color theme="2" tint="-0.249977111117893"/>
      </left>
      <right style="thin">
        <color theme="6"/>
      </right>
      <top style="hair">
        <color indexed="64"/>
      </top>
      <bottom style="hair">
        <color theme="2" tint="-0.0999786370433668"/>
      </bottom>
      <diagonal/>
    </border>
    <border>
      <left style="thin">
        <color theme="6"/>
      </left>
      <right style="thin">
        <color theme="6"/>
      </right>
      <top style="hair">
        <color indexed="64"/>
      </top>
      <bottom style="hair">
        <color theme="2" tint="-0.0999786370433668"/>
      </bottom>
      <diagonal/>
    </border>
    <border>
      <left style="thin">
        <color rgb="FF000000"/>
      </left>
      <right style="thin">
        <color theme="2" tint="-0.249977111117893"/>
      </right>
      <top style="hair">
        <color indexed="64"/>
      </top>
      <bottom style="hair">
        <color theme="2" tint="-0.0999786370433668"/>
      </bottom>
      <diagonal/>
    </border>
    <border>
      <left style="thin">
        <color theme="2" tint="-0.249977111117893"/>
      </left>
      <right style="thin">
        <color theme="6"/>
      </right>
      <top/>
      <bottom style="hair">
        <color theme="2" tint="-0.0999786370433668"/>
      </bottom>
      <diagonal/>
    </border>
    <border>
      <left style="thin">
        <color rgb="FF000000"/>
      </left>
      <right style="thin">
        <color theme="2" tint="-0.249977111117893"/>
      </right>
      <top/>
      <bottom style="hair">
        <color theme="2" tint="-0.0999786370433668"/>
      </bottom>
      <diagonal/>
    </border>
    <border>
      <left style="thin">
        <color theme="2" tint="-0.249977111117893"/>
      </left>
      <right style="thin">
        <color theme="6"/>
      </right>
      <top style="hair">
        <color theme="2" tint="-0.0999786370433668"/>
      </top>
      <bottom style="hair">
        <color theme="2" tint="-0.499984740745262"/>
      </bottom>
      <diagonal/>
    </border>
    <border>
      <left style="thin">
        <color rgb="FF000000"/>
      </left>
      <right style="thin">
        <color theme="2" tint="-0.249977111117893"/>
      </right>
      <top style="hair">
        <color theme="2" tint="-0.0999786370433668"/>
      </top>
      <bottom style="hair">
        <color theme="2" tint="-0.499984740745262"/>
      </bottom>
      <diagonal/>
    </border>
    <border>
      <left style="thin">
        <color theme="6"/>
      </left>
      <right style="thin">
        <color theme="6"/>
      </right>
      <top style="hair">
        <color theme="2" tint="-0.0999786370433668"/>
      </top>
      <bottom style="hair">
        <color theme="2" tint="-0.499984740745262"/>
      </bottom>
      <diagonal/>
    </border>
    <border>
      <left style="thin">
        <color theme="6"/>
      </left>
      <right style="thin">
        <color theme="6"/>
      </right>
      <top/>
      <bottom style="hair">
        <color theme="2" tint="-0.0999786370433668"/>
      </bottom>
      <diagonal/>
    </border>
    <border>
      <left/>
      <right/>
      <top style="dotted">
        <color theme="2" tint="-0.499984740745262"/>
      </top>
      <bottom style="thin">
        <color indexed="64"/>
      </bottom>
      <diagonal/>
    </border>
    <border>
      <left/>
      <right/>
      <top style="thin">
        <color indexed="64"/>
      </top>
      <bottom/>
      <diagonal/>
    </border>
    <border>
      <left style="thin">
        <color rgb="FF000000"/>
      </left>
      <right style="thin">
        <color theme="2" tint="-0.249977111117893"/>
      </right>
      <top/>
      <bottom/>
      <diagonal/>
    </border>
    <border>
      <left style="thin">
        <color theme="2" tint="-0.249977111117893"/>
      </left>
      <right style="thin">
        <color theme="6"/>
      </right>
      <top/>
      <bottom/>
      <diagonal/>
    </border>
    <border>
      <left style="thin">
        <color theme="6"/>
      </left>
      <right style="thin">
        <color theme="6"/>
      </right>
      <top/>
      <bottom/>
      <diagonal/>
    </border>
  </borders>
  <cellStyleXfs count="20">
    <xf numFmtId="0" fontId="0" fillId="2" borderId="0">
      <alignment vertical="center" wrapText="true"/>
    </xf>
    <xf numFmtId="0" fontId="5" fillId="0" borderId="0" applyNumberFormat="false" applyFill="false" applyProtection="false">
      <alignment horizontal="left" vertical="center"/>
    </xf>
    <xf numFmtId="0" fontId="9" fillId="0" borderId="0" applyNumberFormat="false" applyFill="false" applyBorder="false" applyProtection="false">
      <alignment horizontal="left" wrapText="true"/>
    </xf>
    <xf numFmtId="44" fontId="3" fillId="0" borderId="0" applyFont="false" applyFill="false" applyBorder="false" applyProtection="false">
      <alignment vertical="center"/>
    </xf>
    <xf numFmtId="9" fontId="7" fillId="0" borderId="0" applyFill="false" applyBorder="false" applyProtection="false">
      <alignment horizontal="left" vertical="center"/>
    </xf>
    <xf numFmtId="0" fontId="8" fillId="0" borderId="0" applyNumberFormat="false" applyFill="false" applyBorder="false" applyProtection="false">
      <alignment vertical="center"/>
    </xf>
    <xf numFmtId="0" fontId="7" fillId="0" borderId="0" applyNumberFormat="false" applyFill="false" applyBorder="false" applyAlignment="false">
      <alignment vertical="center"/>
    </xf>
    <xf numFmtId="0" fontId="4" fillId="0" borderId="1" applyNumberFormat="false" applyFill="false" applyProtection="false">
      <alignment horizontal="right" vertical="center"/>
    </xf>
    <xf numFmtId="0" fontId="12" fillId="0" borderId="0" applyNumberFormat="false" applyFill="false" applyBorder="false" applyProtection="false">
      <alignment horizontal="left"/>
    </xf>
    <xf numFmtId="7" fontId="4" fillId="0" borderId="1" applyFill="false" applyAlignment="false" applyProtection="false"/>
    <xf numFmtId="37" fontId="6" fillId="0" borderId="0" applyFont="false" applyFill="false" applyBorder="false" applyProtection="false">
      <alignment horizontal="left" indent="1" vertical="center"/>
    </xf>
    <xf numFmtId="7" fontId="6" fillId="0" borderId="0" applyFont="false" applyFill="false" applyBorder="false" applyProtection="false">
      <alignment horizontal="right" vertical="center"/>
    </xf>
    <xf numFmtId="0" fontId="6" fillId="2" borderId="0" applyNumberFormat="false" applyFont="false" applyFill="false" applyBorder="false">
      <alignment horizontal="center" vertical="center"/>
    </xf>
    <xf numFmtId="0" fontId="6" fillId="2" borderId="0" applyNumberFormat="false" applyFont="false" applyFill="false" applyBorder="false">
      <alignment horizontal="right" vertical="center"/>
    </xf>
    <xf numFmtId="0" fontId="10" fillId="2" borderId="0" applyNumberFormat="false" applyFill="false" applyBorder="false" applyAlignment="false" applyProtection="false">
      <alignment vertical="center" wrapText="true"/>
    </xf>
    <xf numFmtId="0" fontId="10" fillId="2" borderId="0" applyNumberFormat="false" applyFill="false" applyBorder="false" applyAlignment="false" applyProtection="false">
      <alignment vertical="center" wrapText="true"/>
    </xf>
    <xf numFmtId="0" fontId="2" fillId="3" borderId="0" applyNumberFormat="false" applyBorder="false" applyAlignment="false" applyProtection="false"/>
    <xf numFmtId="0" fontId="11" fillId="0" borderId="0">
      <alignment vertical="center"/>
    </xf>
    <xf numFmtId="0" fontId="6" fillId="0" borderId="0" applyNumberFormat="false" applyFill="false" applyBorder="false" applyProtection="false">
      <alignment vertical="center"/>
    </xf>
    <xf numFmtId="0" fontId="25" fillId="0" borderId="0"/>
  </cellStyleXfs>
  <cellXfs count="134">
    <xf numFmtId="0" fontId="0" fillId="2" borderId="0" xfId="0">
      <alignment vertical="center" wrapText="true"/>
    </xf>
    <xf numFmtId="9" fontId="1" fillId="2" borderId="0" xfId="4" applyFont="true" applyFill="true">
      <alignment horizontal="left" vertical="center"/>
    </xf>
    <xf numFmtId="0" fontId="6" fillId="4" borderId="0" xfId="18" applyFill="true" applyAlignment="true">
      <alignment horizontal="right" vertical="center"/>
    </xf>
    <xf numFmtId="0" fontId="5" fillId="4" borderId="0" xfId="1" applyFill="true">
      <alignment horizontal="left" vertical="center"/>
    </xf>
    <xf numFmtId="0" fontId="0" fillId="4" borderId="0" xfId="0" applyFill="true">
      <alignment vertical="center" wrapText="true"/>
    </xf>
    <xf numFmtId="0" fontId="5" fillId="4" borderId="0" xfId="1" applyFill="true" applyAlignment="true">
      <alignment vertical="center"/>
    </xf>
    <xf numFmtId="0" fontId="0" fillId="4" borderId="0" xfId="13" applyFont="true" applyFill="true">
      <alignment horizontal="right" vertical="center"/>
    </xf>
    <xf numFmtId="7" fontId="0" fillId="4" borderId="0" xfId="11" applyFont="true" applyFill="true">
      <alignment horizontal="right" vertical="center"/>
    </xf>
    <xf numFmtId="9" fontId="1" fillId="4" borderId="0" xfId="4" applyFont="true" applyFill="true">
      <alignment horizontal="left" vertical="center"/>
    </xf>
    <xf numFmtId="7" fontId="13" fillId="4" borderId="1" xfId="7" applyNumberFormat="true" applyFont="true" applyFill="true">
      <alignment horizontal="right" vertical="center"/>
    </xf>
    <xf numFmtId="7" fontId="4" fillId="4" borderId="1" xfId="9" applyFill="true" applyAlignment="true">
      <alignment vertical="center" wrapText="true"/>
    </xf>
    <xf numFmtId="0" fontId="18" fillId="4" borderId="0" xfId="13" applyFont="true" applyFill="true">
      <alignment horizontal="right" vertical="center"/>
    </xf>
    <xf numFmtId="0" fontId="0" fillId="4" borderId="0" xfId="18" applyFont="true" applyFill="true" applyAlignment="true">
      <alignment horizontal="center" vertical="center"/>
    </xf>
    <xf numFmtId="9" fontId="1" fillId="4" borderId="0" xfId="4" applyFont="true" applyFill="true" applyAlignment="true">
      <alignment horizontal="center" vertical="center"/>
    </xf>
    <xf numFmtId="0" fontId="0" fillId="2" borderId="0" xfId="0" applyAlignment="true">
      <alignment horizontal="center" vertical="center" wrapText="true"/>
    </xf>
    <xf numFmtId="0" fontId="22" fillId="4" borderId="0" xfId="13" applyFont="true" applyFill="true">
      <alignment horizontal="right" vertical="center"/>
    </xf>
    <xf numFmtId="0" fontId="23" fillId="4" borderId="0" xfId="13" applyFont="true" applyFill="true">
      <alignment horizontal="right" vertical="center"/>
    </xf>
    <xf numFmtId="0" fontId="22" fillId="4" borderId="0" xfId="0" applyFont="true" applyFill="true">
      <alignment vertical="center" wrapText="true"/>
    </xf>
    <xf numFmtId="9" fontId="21" fillId="4" borderId="0" xfId="4" applyFont="true" applyFill="true">
      <alignment horizontal="left" vertical="center"/>
    </xf>
    <xf numFmtId="0" fontId="15" fillId="7" borderId="0" xfId="5" applyFont="true" applyFill="true" applyAlignment="true">
      <alignment horizontal="center" vertical="center"/>
    </xf>
    <xf numFmtId="0" fontId="15" fillId="7" borderId="0" xfId="5" applyFont="true" applyFill="true" applyAlignment="true">
      <alignment horizontal="left" vertical="center"/>
    </xf>
    <xf numFmtId="0" fontId="17" fillId="7" borderId="0" xfId="17" applyFont="true" applyFill="true" applyAlignment="true">
      <alignment horizontal="left" vertical="center"/>
    </xf>
    <xf numFmtId="0" fontId="2" fillId="7" borderId="0" xfId="16" applyFill="true" applyAlignment="true">
      <alignment vertical="center" wrapText="true"/>
    </xf>
    <xf numFmtId="0" fontId="24" fillId="7" borderId="0" xfId="17" applyFont="true" applyFill="true" applyAlignment="true">
      <alignment horizontal="left" vertical="center"/>
    </xf>
    <xf numFmtId="0" fontId="25" fillId="0" borderId="0" xfId="19" applyAlignment="true">
      <alignment horizontal="right" indent="1" justifyLastLine="true" shrinkToFit="true" vertical="center" wrapText="true"/>
    </xf>
    <xf numFmtId="0" fontId="25" fillId="0" borderId="0" xfId="19"/>
    <xf numFmtId="0" fontId="21" fillId="6" borderId="5" xfId="0" applyFont="true" applyFill="true" applyBorder="true" applyAlignment="true">
      <alignment horizontal="left" vertical="center" wrapText="true"/>
    </xf>
    <xf numFmtId="0" fontId="21" fillId="6" borderId="5" xfId="0" applyFont="true" applyFill="true" applyBorder="true" applyAlignment="true">
      <alignment horizontal="left" vertical="center"/>
    </xf>
    <xf numFmtId="0" fontId="21" fillId="6" borderId="5" xfId="0" applyFont="true" applyFill="true" applyBorder="true">
      <alignment vertical="center" wrapText="true"/>
    </xf>
    <xf numFmtId="0" fontId="21" fillId="6" borderId="5" xfId="0" applyFont="true" applyFill="true" applyBorder="true" applyAlignment="true">
      <alignment horizontal="center" vertical="center" wrapText="true"/>
    </xf>
    <xf numFmtId="0" fontId="1" fillId="2" borderId="5" xfId="0" applyFont="true" applyBorder="true" applyAlignment="true">
      <alignment horizontal="center" vertical="center" wrapText="true"/>
    </xf>
    <xf numFmtId="0" fontId="21" fillId="2" borderId="5" xfId="0" applyFont="true" applyBorder="true">
      <alignment vertical="center" wrapText="true"/>
    </xf>
    <xf numFmtId="0" fontId="21" fillId="2" borderId="5" xfId="0" applyFont="true" applyBorder="true" applyAlignment="true">
      <alignment vertical="center"/>
    </xf>
    <xf numFmtId="0" fontId="21" fillId="2" borderId="5" xfId="0" applyFont="true" applyBorder="true" applyAlignment="true">
      <alignment horizontal="center" vertical="center" wrapText="true"/>
    </xf>
    <xf numFmtId="0" fontId="21" fillId="6" borderId="5" xfId="0" applyFont="true" applyFill="true" applyBorder="true" applyAlignment="true">
      <alignment vertical="center"/>
    </xf>
    <xf numFmtId="0" fontId="21" fillId="6" borderId="3" xfId="0" applyFont="true" applyFill="true" applyBorder="true">
      <alignment vertical="center" wrapText="true"/>
    </xf>
    <xf numFmtId="0" fontId="21" fillId="6" borderId="3" xfId="0" applyFont="true" applyFill="true" applyBorder="true" applyAlignment="true">
      <alignment horizontal="center" vertical="center" wrapText="true"/>
    </xf>
    <xf numFmtId="0" fontId="10" fillId="0" borderId="0" xfId="14" applyFill="true" applyAlignment="true">
      <alignment horizontal="right" indent="1" justifyLastLine="true" shrinkToFit="true" vertical="center" wrapText="true"/>
    </xf>
    <xf numFmtId="0" fontId="22" fillId="4" borderId="6" xfId="13" applyFont="true" applyFill="true" applyBorder="true">
      <alignment horizontal="right" vertical="center"/>
    </xf>
    <xf numFmtId="7" fontId="22" fillId="4" borderId="6" xfId="11" applyFont="true" applyFill="true" applyBorder="true">
      <alignment horizontal="right" vertical="center"/>
    </xf>
    <xf numFmtId="0" fontId="22" fillId="4" borderId="7" xfId="13" applyFont="true" applyFill="true" applyBorder="true">
      <alignment horizontal="right" vertical="center"/>
    </xf>
    <xf numFmtId="7" fontId="22" fillId="4" borderId="7" xfId="11" applyFont="true" applyFill="true" applyBorder="true">
      <alignment horizontal="right" vertical="center"/>
    </xf>
    <xf numFmtId="0" fontId="22" fillId="4" borderId="7" xfId="13" applyFont="true" applyFill="true" applyBorder="true" applyAlignment="true">
      <alignment horizontal="right" vertical="center" wrapText="true"/>
    </xf>
    <xf numFmtId="0" fontId="22" fillId="4" borderId="6" xfId="13" applyFont="true" applyFill="true" applyBorder="true" applyAlignment="true">
      <alignment horizontal="right" vertical="center" wrapText="true"/>
    </xf>
    <xf numFmtId="0" fontId="28" fillId="0" borderId="0" xfId="19" applyFont="true" applyAlignment="true">
      <alignment horizontal="left" vertical="top" wrapText="true"/>
    </xf>
    <xf numFmtId="0" fontId="28" fillId="0" borderId="0" xfId="19" applyFont="true" applyAlignment="true">
      <alignment horizontal="left" indent="1" justifyLastLine="true" shrinkToFit="true" vertical="center" wrapText="true"/>
    </xf>
    <xf numFmtId="0" fontId="28" fillId="0" borderId="9" xfId="19" applyFont="true" applyBorder="true" applyAlignment="true">
      <alignment horizontal="left" indent="1" justifyLastLine="true" shrinkToFit="true" vertical="center" wrapText="true"/>
    </xf>
    <xf numFmtId="37" fontId="21" fillId="6" borderId="5" xfId="10" applyFont="true" applyFill="true" applyBorder="true" applyAlignment="true">
      <alignment horizontal="left" vertical="center"/>
    </xf>
    <xf numFmtId="37" fontId="21" fillId="2" borderId="5" xfId="10" applyFont="true" applyFill="true" applyBorder="true" applyAlignment="true">
      <alignment horizontal="left" vertical="center"/>
    </xf>
    <xf numFmtId="37" fontId="21" fillId="6" borderId="3" xfId="10" applyFont="true" applyFill="true" applyBorder="true" applyAlignment="true">
      <alignment horizontal="left" vertical="center"/>
    </xf>
    <xf numFmtId="0" fontId="29" fillId="6" borderId="5" xfId="14" applyFont="true" applyFill="true" applyBorder="true">
      <alignment vertical="center" wrapText="true"/>
    </xf>
    <xf numFmtId="0" fontId="29" fillId="2" borderId="5" xfId="14" applyFont="true" applyBorder="true">
      <alignment vertical="center" wrapText="true"/>
    </xf>
    <xf numFmtId="0" fontId="29" fillId="6" borderId="3" xfId="14" applyFont="true" applyFill="true" applyBorder="true">
      <alignment vertical="center" wrapText="true"/>
    </xf>
    <xf numFmtId="0" fontId="30" fillId="2" borderId="3" xfId="0" applyFont="true" applyBorder="true">
      <alignment vertical="center" wrapText="true"/>
    </xf>
    <xf numFmtId="0" fontId="13"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xf>
    <xf numFmtId="0" fontId="19" fillId="5" borderId="2" xfId="2" applyFont="true" applyFill="true" applyBorder="true" applyAlignment="true">
      <alignment horizontal="left" vertical="center" wrapText="true"/>
    </xf>
    <xf numFmtId="0" fontId="19" fillId="5" borderId="2" xfId="2" applyFont="true" applyFill="true" applyBorder="true" applyAlignment="true">
      <alignment horizontal="left" vertical="center"/>
    </xf>
    <xf numFmtId="0" fontId="20" fillId="5" borderId="2" xfId="2" applyFont="true" applyFill="true" applyBorder="true" applyAlignment="true">
      <alignment horizontal="center" vertical="center" wrapText="true"/>
    </xf>
    <xf numFmtId="0" fontId="27" fillId="5" borderId="2" xfId="2" applyFont="true" applyFill="true" applyBorder="true" applyAlignment="true">
      <alignment horizontal="center" vertical="center" wrapText="true"/>
    </xf>
    <xf numFmtId="0" fontId="31" fillId="0" borderId="0" xfId="19" applyFont="true" applyAlignment="true">
      <alignment horizontal="right" indent="1" justifyLastLine="true" shrinkToFit="true" vertical="center" wrapText="true"/>
    </xf>
    <xf numFmtId="0" fontId="31" fillId="0" borderId="0" xfId="19" applyFont="true"/>
    <xf numFmtId="0" fontId="34" fillId="8" borderId="4" xfId="19" applyFont="true" applyFill="true" applyBorder="true" applyAlignment="true">
      <alignment horizontal="center" justifyLastLine="true" shrinkToFit="true" vertical="center" wrapText="true"/>
    </xf>
    <xf numFmtId="0" fontId="34" fillId="0" borderId="0" xfId="19" applyFont="true"/>
    <xf numFmtId="0" fontId="36" fillId="2" borderId="0" xfId="0" applyFont="true">
      <alignment vertical="center" wrapText="true"/>
    </xf>
    <xf numFmtId="0" fontId="28" fillId="0" borderId="11" xfId="19" applyFont="true" applyBorder="true" applyAlignment="true">
      <alignment horizontal="left" indent="1" justifyLastLine="true" shrinkToFit="true" vertical="center" wrapText="true"/>
    </xf>
    <xf numFmtId="0" fontId="28" fillId="0" borderId="12" xfId="19" applyFont="true" applyBorder="true" applyAlignment="true">
      <alignment horizontal="left" indent="1" justifyLastLine="true" shrinkToFit="true" vertical="center" wrapText="true"/>
    </xf>
    <xf numFmtId="0" fontId="28" fillId="0" borderId="13" xfId="19" applyFont="true" applyBorder="true" applyAlignment="true">
      <alignment horizontal="left" indent="1" justifyLastLine="true" shrinkToFit="true" vertical="center" wrapText="true"/>
    </xf>
    <xf numFmtId="0" fontId="28" fillId="0" borderId="15" xfId="19" applyFont="true" applyBorder="true" applyAlignment="true">
      <alignment horizontal="left" indent="1" justifyLastLine="true" shrinkToFit="true" vertical="center" wrapText="true"/>
    </xf>
    <xf numFmtId="0" fontId="28" fillId="0" borderId="17" xfId="19" applyFont="true" applyBorder="true" applyAlignment="true">
      <alignment horizontal="left" indent="1" justifyLastLine="true" shrinkToFit="true" vertical="center" wrapText="true"/>
    </xf>
    <xf numFmtId="0" fontId="28" fillId="0" borderId="18" xfId="19" applyFont="true" applyBorder="true" applyAlignment="true">
      <alignment horizontal="left" indent="1" justifyLastLine="true" shrinkToFit="true" vertical="center" wrapText="true"/>
    </xf>
    <xf numFmtId="0" fontId="28" fillId="0" borderId="20" xfId="19" applyFont="true" applyBorder="true" applyAlignment="true">
      <alignment horizontal="left" indent="1" justifyLastLine="true" shrinkToFit="true" vertical="center" wrapText="true"/>
    </xf>
    <xf numFmtId="0" fontId="28" fillId="0" borderId="22" xfId="19" applyFont="true" applyBorder="true" applyAlignment="true">
      <alignment horizontal="left" indent="1" justifyLastLine="true" shrinkToFit="true" vertical="center" wrapText="true"/>
    </xf>
    <xf numFmtId="0" fontId="28" fillId="0" borderId="25" xfId="19" applyFont="true" applyBorder="true" applyAlignment="true">
      <alignment horizontal="left" indent="1" justifyLastLine="true" shrinkToFit="true" vertical="center" wrapText="true"/>
    </xf>
    <xf numFmtId="0" fontId="28" fillId="0" borderId="24" xfId="19" applyFont="true" applyBorder="true" applyAlignment="true">
      <alignment horizontal="left" indent="1" justifyLastLine="true" shrinkToFit="true" vertical="center" wrapText="true"/>
    </xf>
    <xf numFmtId="0" fontId="35" fillId="0" borderId="16" xfId="19" applyFont="true" applyBorder="true" applyAlignment="true">
      <alignment horizontal="center" justifyLastLine="true" shrinkToFit="true" vertical="center" wrapText="true"/>
    </xf>
    <xf numFmtId="0" fontId="35" fillId="0" borderId="19" xfId="19" applyFont="true" applyBorder="true" applyAlignment="true">
      <alignment horizontal="center" justifyLastLine="true" shrinkToFit="true" vertical="center" wrapText="true"/>
    </xf>
    <xf numFmtId="0" fontId="35" fillId="0" borderId="23" xfId="19" applyFont="true" applyBorder="true" applyAlignment="true">
      <alignment horizontal="center" justifyLastLine="true" shrinkToFit="true" vertical="center" wrapText="true"/>
    </xf>
    <xf numFmtId="0" fontId="35" fillId="0" borderId="21" xfId="19" applyFont="true" applyBorder="true" applyAlignment="true">
      <alignment horizontal="center" justifyLastLine="true" shrinkToFit="true" vertical="center" wrapText="true"/>
    </xf>
    <xf numFmtId="0" fontId="35" fillId="0" borderId="14" xfId="19" applyFont="true" applyBorder="true" applyAlignment="true">
      <alignment horizontal="center" justifyLastLine="true" shrinkToFit="true" vertical="center" wrapText="true"/>
    </xf>
    <xf numFmtId="0" fontId="33" fillId="0" borderId="0" xfId="19" applyFont="true" applyAlignment="true">
      <alignment horizontal="center"/>
    </xf>
    <xf numFmtId="0" fontId="32" fillId="0" borderId="0" xfId="19" applyFont="true" applyAlignment="true">
      <alignment horizontal="center"/>
    </xf>
    <xf numFmtId="0" fontId="0" fillId="0" borderId="0" xfId="0" applyFill="true" applyAlignment="true">
      <alignment horizontal="center" vertical="center" wrapText="true"/>
    </xf>
    <xf numFmtId="0" fontId="6" fillId="4" borderId="0" xfId="18" applyFill="true" applyAlignment="true">
      <alignment horizontal="center" vertical="center"/>
    </xf>
    <xf numFmtId="0" fontId="5" fillId="4" borderId="0" xfId="1" applyFill="true" applyAlignment="true">
      <alignment horizontal="center" vertical="center"/>
    </xf>
    <xf numFmtId="7" fontId="4" fillId="4" borderId="1" xfId="9" applyFill="true" applyAlignment="true">
      <alignment horizontal="center" vertical="center" wrapText="true"/>
    </xf>
    <xf numFmtId="0" fontId="23" fillId="4" borderId="0" xfId="13" applyFont="true" applyFill="true" applyAlignment="true">
      <alignment horizontal="center" vertical="center"/>
    </xf>
    <xf numFmtId="0" fontId="0" fillId="4" borderId="0" xfId="13" applyFont="true" applyFill="true" applyAlignment="true">
      <alignment horizontal="center" vertical="center"/>
    </xf>
    <xf numFmtId="7" fontId="0" fillId="4" borderId="0" xfId="11" applyFont="true" applyFill="true" applyAlignment="true">
      <alignment horizontal="center" vertical="center"/>
    </xf>
    <xf numFmtId="0" fontId="37" fillId="8" borderId="4" xfId="19" applyFont="true" applyFill="true" applyBorder="true" applyAlignment="true">
      <alignment horizontal="center" justifyLastLine="true" shrinkToFit="true" vertical="center" wrapText="true"/>
    </xf>
    <xf numFmtId="176" fontId="1" fillId="4" borderId="0" xfId="4" applyNumberFormat="true" applyFont="true" applyFill="true">
      <alignment horizontal="left" vertical="center"/>
    </xf>
    <xf numFmtId="0" fontId="39" fillId="0" borderId="20" xfId="19" applyFont="true" applyBorder="true" applyAlignment="true">
      <alignment horizontal="left" indent="1" justifyLastLine="true" shrinkToFit="true" vertical="center" wrapText="true"/>
    </xf>
    <xf numFmtId="0" fontId="39" fillId="0" borderId="25" xfId="19" applyFont="true" applyBorder="true" applyAlignment="true">
      <alignment horizontal="left" indent="1" justifyLastLine="true" shrinkToFit="true" vertical="center" wrapText="true"/>
    </xf>
    <xf numFmtId="0" fontId="38" fillId="4" borderId="0" xfId="0" applyFont="true" applyFill="true" applyAlignment="true">
      <alignment horizontal="right" vertical="top"/>
    </xf>
    <xf numFmtId="0" fontId="38" fillId="4" borderId="0" xfId="18" applyFont="true" applyFill="true" applyBorder="true" applyAlignment="true">
      <alignment horizontal="left" vertical="center"/>
    </xf>
    <xf numFmtId="0" fontId="21" fillId="2" borderId="3" xfId="0" applyFont="true" applyBorder="true" applyAlignment="true">
      <alignment horizontal="center" vertical="center" wrapText="true"/>
    </xf>
    <xf numFmtId="0" fontId="41" fillId="2" borderId="0" xfId="0" applyFont="true">
      <alignment vertical="center" wrapText="true"/>
    </xf>
    <xf numFmtId="9" fontId="42" fillId="4" borderId="0" xfId="4" applyFont="true" applyFill="true">
      <alignment horizontal="left" vertical="center"/>
    </xf>
    <xf numFmtId="0" fontId="43" fillId="6" borderId="5" xfId="0" applyFont="true" applyFill="true" applyBorder="true" applyAlignment="true">
      <alignment horizontal="center" vertical="center" wrapText="true"/>
    </xf>
    <xf numFmtId="0" fontId="43" fillId="2" borderId="5" xfId="0" applyFont="true" applyBorder="true" applyAlignment="true">
      <alignment horizontal="center" vertical="center" wrapText="true"/>
    </xf>
    <xf numFmtId="0" fontId="43" fillId="6" borderId="3" xfId="0" applyFont="true" applyFill="true" applyBorder="true" applyAlignment="true">
      <alignment horizontal="center" vertical="center" wrapText="true"/>
    </xf>
    <xf numFmtId="0" fontId="43" fillId="2" borderId="3" xfId="0" applyFont="true" applyBorder="true" applyAlignment="true">
      <alignment horizontal="center" vertical="center" wrapText="true"/>
    </xf>
    <xf numFmtId="0" fontId="21" fillId="2" borderId="3" xfId="0" applyFont="true" applyBorder="true">
      <alignment vertical="center" wrapText="true"/>
    </xf>
    <xf numFmtId="0" fontId="21" fillId="2" borderId="26" xfId="0" applyFont="true" applyBorder="true" applyAlignment="true">
      <alignment vertical="center"/>
    </xf>
    <xf numFmtId="0" fontId="21" fillId="2" borderId="26" xfId="0" applyFont="true" applyBorder="true">
      <alignment vertical="center" wrapText="true"/>
    </xf>
    <xf numFmtId="0" fontId="21" fillId="2" borderId="26" xfId="0" applyFont="true" applyBorder="true" applyAlignment="true">
      <alignment horizontal="center" vertical="center" wrapText="true"/>
    </xf>
    <xf numFmtId="37" fontId="21" fillId="2" borderId="26" xfId="10" applyFont="true" applyFill="true" applyBorder="true" applyAlignment="true">
      <alignment horizontal="left" vertical="center"/>
    </xf>
    <xf numFmtId="0" fontId="38" fillId="4" borderId="0" xfId="18" applyFont="true" applyFill="true" applyBorder="true" applyAlignment="true">
      <alignment horizontal="right"/>
    </xf>
    <xf numFmtId="0" fontId="16" fillId="7" borderId="0" xfId="5" applyFont="true" applyFill="true" applyAlignment="true">
      <alignment horizontal="left" vertical="center"/>
    </xf>
    <xf numFmtId="0" fontId="39" fillId="0" borderId="22" xfId="19" applyFont="true" applyBorder="true" applyAlignment="true">
      <alignment horizontal="left" indent="1" justifyLastLine="true" shrinkToFit="true" vertical="center" wrapText="true"/>
    </xf>
    <xf numFmtId="0" fontId="39" fillId="0" borderId="24" xfId="19" applyFont="true" applyBorder="true" applyAlignment="true">
      <alignment horizontal="left" indent="1" justifyLastLine="true" shrinkToFit="true" vertical="center" wrapText="true"/>
    </xf>
    <xf numFmtId="0" fontId="35" fillId="0" borderId="28" xfId="19" applyFont="true" applyBorder="true" applyAlignment="true">
      <alignment horizontal="center" justifyLastLine="true" shrinkToFit="true" vertical="center" wrapText="true"/>
    </xf>
    <xf numFmtId="0" fontId="28" fillId="0" borderId="29" xfId="19" applyFont="true" applyBorder="true" applyAlignment="true">
      <alignment horizontal="left" indent="1" justifyLastLine="true" shrinkToFit="true" vertical="center" wrapText="true"/>
    </xf>
    <xf numFmtId="0" fontId="28" fillId="0" borderId="30" xfId="19" applyFont="true" applyBorder="true" applyAlignment="true">
      <alignment horizontal="left" indent="1" justifyLastLine="true" shrinkToFit="true" vertical="center" wrapText="true"/>
    </xf>
    <xf numFmtId="0" fontId="26" fillId="6" borderId="3" xfId="0" applyFont="true" applyFill="true" applyBorder="true" applyAlignment="true">
      <alignment horizontal="left" vertical="center" wrapText="true"/>
    </xf>
    <xf numFmtId="0" fontId="26" fillId="2" borderId="3" xfId="0" applyFont="true" applyBorder="true" applyAlignment="true">
      <alignment horizontal="left" vertical="center" wrapText="true"/>
    </xf>
    <xf numFmtId="0" fontId="22" fillId="4" borderId="8" xfId="13" applyFont="true" applyFill="true" applyBorder="true" applyAlignment="true">
      <alignment horizontal="right" vertical="center" wrapText="true"/>
    </xf>
    <xf numFmtId="0" fontId="22" fillId="4" borderId="8" xfId="13" applyFont="true" applyFill="true" applyBorder="true" applyAlignment="true">
      <alignment horizontal="center" vertical="center" wrapText="true"/>
    </xf>
    <xf numFmtId="0" fontId="26" fillId="6" borderId="10" xfId="0" applyFont="true" applyFill="true" applyBorder="true" applyAlignment="true">
      <alignment horizontal="left" vertical="center" wrapText="true"/>
    </xf>
    <xf numFmtId="0" fontId="0" fillId="2" borderId="0" xfId="0">
      <alignment vertical="center" wrapText="true"/>
    </xf>
    <xf numFmtId="0" fontId="0" fillId="2" borderId="0" xfId="0" applyAlignment="true">
      <alignment horizontal="center" vertical="center" wrapText="true"/>
    </xf>
    <xf numFmtId="0" fontId="40" fillId="2" borderId="26" xfId="0" applyFont="true" applyBorder="true" applyAlignment="true">
      <alignment horizontal="right" vertical="center"/>
    </xf>
    <xf numFmtId="0" fontId="0" fillId="2" borderId="27" xfId="0" applyBorder="true">
      <alignment vertical="center" wrapText="true"/>
    </xf>
    <xf numFmtId="0" fontId="26" fillId="6" borderId="5" xfId="0" applyFont="true" applyFill="true" applyBorder="true" applyAlignment="true">
      <alignment horizontal="left" vertical="center" wrapText="true"/>
    </xf>
    <xf numFmtId="0" fontId="44" fillId="2" borderId="3" xfId="0" applyFont="true" applyBorder="true" applyAlignment="true">
      <alignment horizontal="right" wrapText="true"/>
    </xf>
    <xf numFmtId="0" fontId="45" fillId="4" borderId="6" xfId="13" applyFont="true" applyFill="true" applyBorder="true" applyAlignment="true">
      <alignment horizontal="right" vertical="center" wrapText="true"/>
    </xf>
    <xf numFmtId="0" fontId="45" fillId="4" borderId="7" xfId="13" applyFont="true" applyFill="true" applyBorder="true" applyAlignment="true">
      <alignment horizontal="right" vertical="center" wrapText="true"/>
    </xf>
    <xf numFmtId="7" fontId="45" fillId="4" borderId="6" xfId="11" applyFont="true" applyFill="true" applyBorder="true" applyAlignment="true">
      <alignment horizontal="right" vertical="center" wrapText="true"/>
    </xf>
    <xf numFmtId="7" fontId="45" fillId="4" borderId="7" xfId="11" applyFont="true" applyFill="true" applyBorder="true" applyAlignment="true">
      <alignment horizontal="right" vertical="center" wrapText="true"/>
    </xf>
    <xf numFmtId="0" fontId="45" fillId="4" borderId="7" xfId="13" applyNumberFormat="true" applyFont="true" applyFill="true" applyBorder="true" applyAlignment="true">
      <alignment horizontal="right" vertical="center" wrapText="true"/>
    </xf>
    <xf numFmtId="0" fontId="46" fillId="9" borderId="0" xfId="0" applyFont="true" applyFill="true" applyAlignment="true">
      <alignment horizontal="left" justifyLastLine="true" shrinkToFit="true" vertical="center" wrapText="true"/>
    </xf>
    <xf numFmtId="0" fontId="46" fillId="10" borderId="0" xfId="0" applyFont="true" applyFill="true" applyAlignment="true">
      <alignment horizontal="left" justifyLastLine="true" shrinkToFit="true" vertical="center" wrapText="true"/>
    </xf>
    <xf numFmtId="0" fontId="46" fillId="11" borderId="0" xfId="0" applyFont="true" applyFill="true" applyAlignment="true">
      <alignment horizontal="left" justifyLastLine="true" shrinkToFit="true" vertical="center" wrapText="true"/>
    </xf>
  </cellXfs>
  <cellStyles count="20">
    <cellStyle name="20% - 着色 4" xfId="16" builtinId="42"/>
    <cellStyle name="Budget labels" xfId="13"/>
    <cellStyle name="Done" xfId="12"/>
    <cellStyle name="Title 2" xfId="17"/>
    <cellStyle name="zHide text" xfId="6"/>
    <cellStyle name="千位分隔" xfId="10" builtinId="3" customBuiltin="true"/>
    <cellStyle name="已访问的超链接" xfId="15" builtinId="9" customBuiltin="true"/>
    <cellStyle name="常规" xfId="0" builtinId="0" customBuiltin="true"/>
    <cellStyle name="常规 2" xfId="19"/>
    <cellStyle name="标题" xfId="5" builtinId="15" customBuiltin="true"/>
    <cellStyle name="标题 1" xfId="1" builtinId="16" customBuiltin="true"/>
    <cellStyle name="标题 2" xfId="2" builtinId="17" customBuiltin="true"/>
    <cellStyle name="标题 3" xfId="7" builtinId="18" customBuiltin="true"/>
    <cellStyle name="标题 4" xfId="8" builtinId="19" customBuiltin="true"/>
    <cellStyle name="汇总" xfId="9" builtinId="25" customBuiltin="true"/>
    <cellStyle name="百分比" xfId="4" builtinId="5" customBuiltin="true"/>
    <cellStyle name="解释性文本" xfId="18" builtinId="53" customBuiltin="true"/>
    <cellStyle name="货币" xfId="3" builtinId="4" customBuiltin="true"/>
    <cellStyle name="货币[0]" xfId="11" builtinId="7" customBuiltin="true"/>
    <cellStyle name="超链接" xfId="14" builtinId="8" customBuiltin="true"/>
  </cellStyles>
  <dxfs count="5">
    <dxf>
      <font>
        <color theme="4" tint="-0.249946592608417"/>
      </font>
      <border>
        <bottom style="thin">
          <color theme="4"/>
        </bottom>
        <vertical/>
        <horizontal/>
      </border>
    </dxf>
    <dxf>
      <font>
        <color theme="4" tint="-0.249946592608417"/>
      </font>
      <fill>
        <patternFill patternType="none">
          <bgColor auto="true"/>
        </patternFill>
      </fill>
      <border>
        <left style="thin">
          <color theme="4"/>
        </left>
        <right style="thin">
          <color theme="4"/>
        </right>
        <top style="thin">
          <color theme="4"/>
        </top>
        <bottom style="thin">
          <color theme="4"/>
        </bottom>
        <vertical/>
        <horizontal/>
      </border>
    </dxf>
    <dxf>
      <font>
        <b val="0"/>
        <i val="0"/>
      </font>
      <fill>
        <patternFill patternType="solid">
          <fgColor theme="0" tint="-0.14993743705557422"/>
          <bgColor theme="0" tint="-0.0499893185216834"/>
        </patternFill>
      </fill>
    </dxf>
    <dxf>
      <font>
        <b val="1"/>
        <i val="0"/>
      </font>
      <fill>
        <patternFill patternType="none">
          <bgColor auto="true"/>
        </patternFill>
      </fill>
      <border>
        <top/>
        <bottom style="thick">
          <color theme="2" tint="-0.499984740745262"/>
        </bottom>
      </border>
    </dxf>
    <dxf>
      <font>
        <b val="0"/>
        <i val="0"/>
        <color theme="1"/>
      </font>
      <border>
        <left/>
        <right/>
        <top style="dotted">
          <color theme="2" tint="-0.499984740745262"/>
        </top>
        <bottom style="dotted">
          <color theme="2" tint="-0.499984740745262"/>
        </bottom>
        <vertical/>
        <horizontal style="dotted">
          <color theme="2" tint="-0.499984740745262"/>
        </horizontal>
      </border>
    </dxf>
  </dxfs>
  <tableStyles count="2" defaultPivotStyle="PivotStyleLight16" defaultTableStyle="TableStyleMedium2">
    <tableStyle name="College Checklist" pivot="0" count="3">
      <tableStyleElement type="wholeTable" dxfId="4"/>
      <tableStyleElement type="headerRow" dxfId="3"/>
      <tableStyleElement type="firstRowStripe" dxfId="2"/>
    </tableStyle>
    <tableStyle name="Shopping List" pivot="0" count="10">
      <tableStyleElement type="wholeTable" dxfId="1"/>
      <tableStyleElement type="headerRow" dxfId="0"/>
    </tableStyle>
  </tableStyles>
  <colors>
    <mruColors>
      <color rgb="FFEAEAEA"/>
      <color rgb="FFBE1F16"/>
      <color rgb="FF0066FF"/>
      <color rgb="FFF2543A"/>
      <color rgb="FFD8EF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xml" Type="http://schemas.openxmlformats.org/officeDocument/2006/relationships/sheetMetadata"></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2.xml" Type="http://schemas.openxmlformats.org/officeDocument/2006/relationships/customXml"></Relationship><Relationship Id="rId5" Target="theme/theme1.xml" Type="http://schemas.openxmlformats.org/officeDocument/2006/relationships/theme"></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6409381665122E-2"/>
          <c:y val="0.25048243969503814"/>
          <c:w val="0.90471623009879287"/>
          <c:h val="0.39820022497187851"/>
        </c:manualLayout>
      </c:layout>
      <c:barChart>
        <c:barDir val="bar"/>
        <c:grouping val="clustered"/>
        <c:varyColors val="0"/>
        <c:ser>
          <c:idx val="0"/>
          <c:order val="0"/>
          <c:tx>
            <c:strRef>
              <c:f>HealthReport!$A$1</c:f>
              <c:strCache>
                <c:ptCount val="1"/>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129A-442B-AB08-6F070EE98C93}"/>
              </c:ext>
            </c:extLst>
          </c:dPt>
          <c:dLbls>
            <c:dLbl>
              <c:idx val="0"/>
              <c:layout>
                <c:manualLayout>
                  <c:x val="-0.10545777809832947"/>
                  <c:y val="-7.886219855390288E-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rgbClr val="BE1F16"/>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layout>
                    <c:manualLayout>
                      <c:w val="0.11051975144704917"/>
                      <c:h val="0.42561990655760917"/>
                    </c:manualLayout>
                  </c15:layout>
                </c:ext>
                <c:ext xmlns:c16="http://schemas.microsoft.com/office/drawing/2014/chart" uri="{C3380CC4-5D6E-409C-BE32-E72D297353CC}">
                  <c16:uniqueId val="{00000001-129A-442B-AB08-6F070EE98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HealthReport!$L$12</c:f>
              <c:numCache>
                <c:formatCode>0%</c:formatCode>
                <c:ptCount val="1"/>
              </c:numCache>
            </c:numRef>
          </c:cat>
          <c:val>
            <c:numRef>
              <c:f>HealthReport!$L$14</c:f>
              <c:numCache>
                <c:formatCode>0%</c:formatCode>
                <c:ptCount val="1"/>
                <c:pt idx="0">
                  <c:v>0.96666666666666667</c:v>
                </c:pt>
              </c:numCache>
            </c:numRef>
          </c:val>
          <c:extLst>
            <c:ext xmlns:c16="http://schemas.microsoft.com/office/drawing/2014/chart" uri="{C3380CC4-5D6E-409C-BE32-E72D297353CC}">
              <c16:uniqueId val="{00000002-129A-442B-AB08-6F070EE98C93}"/>
            </c:ext>
          </c:extLst>
        </c:ser>
        <c:dLbls>
          <c:showLegendKey val="0"/>
          <c:showVal val="0"/>
          <c:showCatName val="0"/>
          <c:showSerName val="0"/>
          <c:showPercent val="0"/>
          <c:showBubbleSize val="0"/>
        </c:dLbls>
        <c:gapWidth val="7"/>
        <c:axId val="564033872"/>
        <c:axId val="564033480"/>
      </c:barChart>
      <c:valAx>
        <c:axId val="564033480"/>
        <c:scaling>
          <c:orientation val="minMax"/>
          <c:max val="1"/>
          <c:min val="0"/>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zh-CN"/>
          </a:p>
        </c:txPr>
        <c:crossAx val="564033872"/>
        <c:crosses val="autoZero"/>
        <c:crossBetween val="between"/>
        <c:majorUnit val="0.25"/>
      </c:valAx>
      <c:catAx>
        <c:axId val="564033872"/>
        <c:scaling>
          <c:orientation val="minMax"/>
        </c:scaling>
        <c:delete val="1"/>
        <c:axPos val="l"/>
        <c:numFmt formatCode="0%" sourceLinked="1"/>
        <c:majorTickMark val="none"/>
        <c:minorTickMark val="none"/>
        <c:tickLblPos val="nextTo"/>
        <c:crossAx val="564033480"/>
        <c:crosses val="autoZero"/>
        <c:auto val="1"/>
        <c:lblAlgn val="ctr"/>
        <c:lblOffset val="100"/>
        <c:noMultiLvlLbl val="0"/>
      </c:catAx>
      <c:spPr>
        <a:noFill/>
        <a:ln w="25400" cap="flat">
          <a:solidFill>
            <a:schemeClr val="tx1">
              <a:alpha val="99000"/>
            </a:schemeClr>
          </a:solidFill>
          <a:round/>
        </a:ln>
        <a:effectLst/>
      </c:spPr>
    </c:plotArea>
    <c:plotVisOnly val="1"/>
    <c:dispBlanksAs val="gap"/>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noFill/>
        </a:ln>
        <a:effectLst/>
        <a:sp3d/>
      </c:spPr>
    </c:sideWall>
    <c:back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solidFill>
            <a:schemeClr val="tx1"/>
          </a:solidFill>
        </a:ln>
        <a:effectLst/>
        <a:sp3d contourW="9525">
          <a:contourClr>
            <a:schemeClr val="tx1"/>
          </a:contourClr>
        </a:sp3d>
      </c:spPr>
    </c:backWall>
    <c:plotArea>
      <c:layout>
        <c:manualLayout>
          <c:layoutTarget val="inner"/>
          <c:xMode val="edge"/>
          <c:yMode val="edge"/>
          <c:x val="0.27374442229583901"/>
          <c:y val="5.1366979378933877E-2"/>
          <c:w val="0.66862974927011976"/>
          <c:h val="0.73348296065002583"/>
        </c:manualLayout>
      </c:layout>
      <c:bar3DChart>
        <c:barDir val="bar"/>
        <c:grouping val="stacked"/>
        <c:varyColors val="0"/>
        <c:ser>
          <c:idx val="0"/>
          <c:order val="0"/>
          <c:tx>
            <c:strRef>
              <c:f>HealthReport!$D$14</c:f>
              <c:strCache>
                <c:ptCount val="1"/>
                <c:pt idx="0">
                  <c:v>重要</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HealthReport!$D$15:$D$24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CB5-422E-B41C-38AD1D946952}"/>
            </c:ext>
          </c:extLst>
        </c:ser>
        <c:ser>
          <c:idx val="1"/>
          <c:order val="1"/>
          <c:tx>
            <c:strRef>
              <c:f>HealthReport!$E$14</c:f>
              <c:strCache>
                <c:ptCount val="1"/>
                <c:pt idx="0">
                  <c:v>普通</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0070C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HealthReport!$E$15:$E$24</c:f>
              <c:numCache>
                <c:formatCode>General</c:formatCode>
                <c:ptCount val="10"/>
                <c:pt idx="0">
                  <c:v>1</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8CB5-422E-B41C-38AD1D946952}"/>
            </c:ext>
          </c:extLst>
        </c:ser>
        <c:ser>
          <c:idx val="2"/>
          <c:order val="2"/>
          <c:tx>
            <c:strRef>
              <c:f>HealthReport!$F$14</c:f>
              <c:strCache>
                <c:ptCount val="1"/>
                <c:pt idx="0">
                  <c:v>轻微</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HealthReport!$F$15:$F$24</c:f>
              <c:numCache>
                <c:formatCode>General</c:formatCode>
                <c:ptCount val="10"/>
                <c:pt idx="0">
                  <c:v>1</c:v>
                </c:pt>
                <c:pt idx="1">
                  <c:v>0</c:v>
                </c:pt>
                <c:pt idx="2">
                  <c:v>1</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8CB5-422E-B41C-38AD1D946952}"/>
            </c:ext>
          </c:extLst>
        </c:ser>
        <c:dLbls>
          <c:showLegendKey val="0"/>
          <c:showVal val="0"/>
          <c:showCatName val="0"/>
          <c:showSerName val="0"/>
          <c:showPercent val="0"/>
          <c:showBubbleSize val="0"/>
        </c:dLbls>
        <c:gapWidth val="65"/>
        <c:gapDepth val="390"/>
        <c:shape val="box"/>
        <c:axId val="984238799"/>
        <c:axId val="984241679"/>
        <c:axId val="0"/>
      </c:bar3DChart>
      <c:catAx>
        <c:axId val="98423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zh-CN"/>
          </a:p>
        </c:txPr>
        <c:crossAx val="984241679"/>
        <c:crosses val="autoZero"/>
        <c:auto val="1"/>
        <c:lblAlgn val="l"/>
        <c:lblOffset val="100"/>
        <c:noMultiLvlLbl val="0"/>
      </c:catAx>
      <c:valAx>
        <c:axId val="9842416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CN"/>
          </a:p>
        </c:txPr>
        <c:crossAx val="98423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6000">
          <a:schemeClr val="bg1">
            <a:lumMod val="65000"/>
          </a:schemeClr>
        </a:gs>
        <a:gs pos="0">
          <a:schemeClr val="bg1">
            <a:lumMod val="65000"/>
          </a:schemeClr>
        </a:gs>
        <a:gs pos="98000">
          <a:schemeClr val="tx1">
            <a:lumMod val="50000"/>
            <a:lumOff val="50000"/>
          </a:schemeClr>
        </a:gs>
      </a:gsLst>
      <a:path path="circle">
        <a:fillToRect l="50000" t="50000" r="50000" b="50000"/>
      </a:path>
      <a:tileRect/>
    </a:gradFill>
    <a:ln>
      <a:noFill/>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jpe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9</xdr:col>
      <xdr:colOff>227337</xdr:colOff>
      <xdr:row>0</xdr:row>
      <xdr:rowOff>170649</xdr:rowOff>
    </xdr:from>
    <xdr:to>
      <xdr:col>10</xdr:col>
      <xdr:colOff>1167243</xdr:colOff>
      <xdr:row>0</xdr:row>
      <xdr:rowOff>843114</xdr:rowOff>
    </xdr:to>
    <xdr:pic>
      <xdr:nvPicPr>
        <xdr:cNvPr id="4" name="图片 3">
          <a:extLst>
            <a:ext uri="{FF2B5EF4-FFF2-40B4-BE49-F238E27FC236}">
              <a16:creationId xmlns:a16="http://schemas.microsoft.com/office/drawing/2014/main" id="{EFC97509-69C0-FE95-1924-B7AB136F5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1533" y="170649"/>
          <a:ext cx="1977111" cy="672465"/>
        </a:xfrm>
        <a:prstGeom prst="rect">
          <a:avLst/>
        </a:prstGeom>
      </xdr:spPr>
    </xdr:pic>
    <xdr:clientData/>
  </xdr:twoCellAnchor>
  <xdr:twoCellAnchor editAs="oneCell">
    <xdr:from>
      <xdr:col>6</xdr:col>
      <xdr:colOff>368949</xdr:colOff>
      <xdr:row>12</xdr:row>
      <xdr:rowOff>269761</xdr:rowOff>
    </xdr:from>
    <xdr:to>
      <xdr:col>10</xdr:col>
      <xdr:colOff>986518</xdr:colOff>
      <xdr:row>14</xdr:row>
      <xdr:rowOff>309562</xdr:rowOff>
    </xdr:to>
    <xdr:graphicFrame>
      <xdr:nvGraphicFramePr>
        <xdr:cNvPr id="5" name="Progress chart" descr="Progress bar depicting purchasing progress">
          <a:extLst>
            <a:ext uri="{FF2B5EF4-FFF2-40B4-BE49-F238E27FC236}">
              <a16:creationId xmlns:a16="http://schemas.microsoft.com/office/drawing/2014/main" id="{C6FDBF44-3117-44D3-86FB-4212B7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219542</xdr:colOff>
      <xdr:row>15</xdr:row>
      <xdr:rowOff>107122</xdr:rowOff>
    </xdr:from>
    <xdr:to>
      <xdr:col>10</xdr:col>
      <xdr:colOff>579258</xdr:colOff>
      <xdr:row>24</xdr:row>
      <xdr:rowOff>159768</xdr:rowOff>
    </xdr:to>
    <xdr:graphicFrame>
      <xdr:nvGraphicFramePr>
        <xdr:cNvPr id="11" name="图表 10">
          <a:extLst>
            <a:ext uri="{FF2B5EF4-FFF2-40B4-BE49-F238E27FC236}">
              <a16:creationId xmlns:a16="http://schemas.microsoft.com/office/drawing/2014/main" id="{D8602FE4-E55F-EAAD-F8DB-942A483D7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76268</xdr:colOff>
      <xdr:row>56</xdr:row>
      <xdr:rowOff>294074</xdr:rowOff>
    </xdr:from>
    <xdr:to>
      <xdr:col>10</xdr:col>
      <xdr:colOff>259557</xdr:colOff>
      <xdr:row>57</xdr:row>
      <xdr:rowOff>487001</xdr:rowOff>
    </xdr:to>
    <xdr:sp>
      <xdr:nvSpPr>
        <xdr:cNvPr id="6" name="文本框 48">
          <a:extLst>
            <a:ext uri="{FF2B5EF4-FFF2-40B4-BE49-F238E27FC236}">
              <a16:creationId xmlns:a16="http://schemas.microsoft.com/office/drawing/2014/main" id="{72167FE8-EBB2-4548-8574-8C7B5D21C9E1}"/>
            </a:ext>
          </a:extLst>
        </xdr:cNvPr>
        <xdr:cNvSpPr txBox="1"/>
      </xdr:nvSpPr>
      <xdr:spPr>
        <a:xfrm>
          <a:off x="5438843" y="35060324"/>
          <a:ext cx="3783739" cy="697752"/>
        </a:xfrm>
        <a:prstGeom prst="rect">
          <a:avLst/>
        </a:prstGeom>
        <a:noFill/>
        <a:ln>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noAutofit/>
        </a:bodyPr>
        <a:lstStyle/>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电话：</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010-82838118</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地址：北京市海淀区学院路</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30</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号科大天工大厦</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B</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座</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6</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层</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官网：</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www.vastdata.com.cn</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xdr:txBody>
    </xdr:sp>
    <xdr:clientData/>
  </xdr:twoCellAnchor>
  <xdr:twoCellAnchor editAs="oneCell">
    <xdr:from>
      <xdr:col>4</xdr:col>
      <xdr:colOff>754516</xdr:colOff>
      <xdr:row>56</xdr:row>
      <xdr:rowOff>154101</xdr:rowOff>
    </xdr:from>
    <xdr:to>
      <xdr:col>5</xdr:col>
      <xdr:colOff>660287</xdr:colOff>
      <xdr:row>58</xdr:row>
      <xdr:rowOff>17349</xdr:rowOff>
    </xdr:to>
    <xdr:pic>
      <xdr:nvPicPr>
        <xdr:cNvPr id="7" name="图片 6">
          <a:extLst>
            <a:ext uri="{FF2B5EF4-FFF2-40B4-BE49-F238E27FC236}">
              <a16:creationId xmlns:a16="http://schemas.microsoft.com/office/drawing/2014/main" id="{0DE27EF6-A602-43B8-A511-F38F5B10EF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193041" y="34920351"/>
          <a:ext cx="867796" cy="872898"/>
        </a:xfrm>
        <a:prstGeom prst="rect">
          <a:avLst/>
        </a:prstGeom>
        <a:noFill/>
        <a:ln>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4.xml.rels><?xml version="1.0" encoding="UTF-8"?>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fitToPage="true"/>
  </sheetPr>
  <dimension ref="B1:P93"/>
  <sheetViews>
    <sheetView showGridLines="false" tabSelected="true" topLeftCell="A17" zoomScaleNormal="100" zoomScaleSheetLayoutView="100" workbookViewId="0">
      <selection activeCell="J7" sqref="J7:K7"/>
    </sheetView>
  </sheetViews>
  <sheetFormatPr defaultRowHeight="30" customHeight="true"/>
  <cols>
    <col customWidth="true" max="1" min="1" width="11.625"/>
    <col customWidth="true" max="2" min="2" style="14" width="5.25"/>
    <col customWidth="true" max="3" min="3" width="15.625"/>
    <col customWidth="true" max="5" min="4" width="12.625"/>
    <col customWidth="true" max="6" min="6" style="14" width="12.625"/>
    <col customWidth="true" max="7" min="7" width="6.375"/>
    <col customWidth="true" max="8" min="8" width="15.625"/>
    <col customWidth="true" max="9" min="9" width="11.625"/>
    <col customWidth="true" max="10" min="10" width="13.625"/>
    <col customWidth="true" max="11" min="11" width="16.375"/>
    <col customWidth="true" max="12" min="12" width="6.75"/>
    <col customWidth="true" max="13" min="13" width="5.5"/>
  </cols>
  <sheetData>
    <row r="1" spans="2:16" ht="73.5" customHeight="true">
      <c r="B1" s="19"/>
      <c r="C1" s="109" t="s">
        <v>144</v>
      </c>
      <c r="D1" s="20"/>
      <c r="E1" s="20"/>
      <c r="F1" s="23" t="s">
        <v>32</v>
      </c>
      <c r="G1" s="23"/>
      <c r="H1" s="21"/>
      <c r="I1" s="21"/>
      <c r="J1" s="21"/>
      <c r="K1" s="22"/>
      <c r="L1" s="22"/>
    </row>
    <row r="2" spans="2:16" ht="26.25" customHeight="true">
      <c r="B2" s="12"/>
      <c r="C2" s="95" t="s">
        <v>148</v>
      </c>
      <c r="D2" s="2"/>
      <c r="E2" s="2"/>
      <c r="F2" s="84"/>
      <c r="G2" s="2"/>
      <c r="H2" s="2"/>
      <c r="I2" s="2"/>
      <c r="J2" s="2"/>
      <c r="K2" s="108" t="s">
        <v>149</v>
      </c>
      <c r="L2" s="2"/>
    </row>
    <row r="3" spans="2:16" ht="30" customHeight="true">
      <c r="B3" s="12"/>
      <c r="C3" s="3" t="s">
        <v>0</v>
      </c>
      <c r="D3" s="5"/>
      <c r="E3" s="3"/>
      <c r="F3" s="85"/>
      <c r="G3" s="4"/>
      <c r="H3" s="5" t="s">
        <v>1</v>
      </c>
      <c r="I3" s="5"/>
      <c r="J3" s="5"/>
      <c r="K3" s="94"/>
      <c r="L3" s="2"/>
    </row>
    <row r="4" spans="2:16" ht="39.95" customHeight="true">
      <c r="B4" s="12"/>
      <c r="C4" s="38" t="s">
        <v>2</v>
      </c>
      <c r="D4" s="39"/>
      <c r="E4" s="128" t="s">
        <v>150</v>
      </c>
      <c r="F4" s="128"/>
      <c r="G4" s="17"/>
      <c r="H4" s="43" t="s">
        <v>12</v>
      </c>
      <c r="I4" s="43"/>
      <c r="J4" s="126" t="s">
        <v>156</v>
      </c>
      <c r="K4" s="126"/>
      <c r="L4" s="2"/>
    </row>
    <row r="5" spans="2:16" ht="42.75" customHeight="true">
      <c r="B5" s="12"/>
      <c r="C5" s="40" t="s">
        <v>35</v>
      </c>
      <c r="D5" s="41"/>
      <c r="E5" s="129" t="s">
        <v>151</v>
      </c>
      <c r="F5" s="129"/>
      <c r="G5" s="17"/>
      <c r="H5" s="40" t="s">
        <v>4</v>
      </c>
      <c r="I5" s="40"/>
      <c r="J5" s="127" t="s">
        <v>157</v>
      </c>
      <c r="K5" s="127"/>
      <c r="L5" s="2"/>
    </row>
    <row r="6" spans="2:16" ht="39.95" customHeight="true">
      <c r="B6" s="12"/>
      <c r="C6" s="40" t="s">
        <v>87</v>
      </c>
      <c r="D6" s="40"/>
      <c r="E6" s="127" t="s">
        <v>82</v>
      </c>
      <c r="F6" s="127"/>
      <c r="G6" s="17"/>
      <c r="H6" s="40" t="s">
        <v>5</v>
      </c>
      <c r="I6" s="40"/>
      <c r="J6" s="127" t="s">
        <v>6</v>
      </c>
      <c r="K6" s="127"/>
      <c r="L6" s="2"/>
    </row>
    <row r="7" spans="2:16" ht="39.95" customHeight="true">
      <c r="B7" s="12"/>
      <c r="C7" s="40" t="s">
        <v>38</v>
      </c>
      <c r="D7" s="42"/>
      <c r="E7" s="127" t="s">
        <v>152</v>
      </c>
      <c r="F7" s="127"/>
      <c r="G7" s="17"/>
      <c r="H7" s="40" t="s">
        <v>57</v>
      </c>
      <c r="I7" s="40"/>
      <c r="J7" s="127" t="s">
        <v>13</v>
      </c>
      <c r="K7" s="127"/>
      <c r="L7" s="2"/>
      <c r="P7" s="1"/>
    </row>
    <row r="8" spans="2:16" ht="39.95" customHeight="true">
      <c r="B8" s="12"/>
      <c r="C8" s="40" t="s">
        <v>76</v>
      </c>
      <c r="D8" s="40"/>
      <c r="E8" s="130" t="s">
        <v>153</v>
      </c>
      <c r="F8" s="127"/>
      <c r="G8" s="18"/>
      <c r="H8" s="40" t="s">
        <v>104</v>
      </c>
      <c r="I8" s="40"/>
      <c r="J8" s="127" t="s">
        <v>8</v>
      </c>
      <c r="K8" s="127"/>
      <c r="L8" s="2"/>
    </row>
    <row r="9" spans="2:16" ht="39.95" customHeight="true">
      <c r="B9" s="12"/>
      <c r="C9" s="40" t="s">
        <v>3</v>
      </c>
      <c r="D9" s="40"/>
      <c r="E9" s="127" t="s">
        <v>154</v>
      </c>
      <c r="F9" s="127"/>
      <c r="G9" s="18"/>
      <c r="H9" s="40" t="s">
        <v>10</v>
      </c>
      <c r="I9" s="40"/>
      <c r="J9" s="127" t="s">
        <v>158</v>
      </c>
      <c r="K9" s="127"/>
      <c r="L9" s="2"/>
    </row>
    <row r="10" spans="2:16" ht="39.95" customHeight="true">
      <c r="B10" s="12"/>
      <c r="C10" s="40" t="s">
        <v>86</v>
      </c>
      <c r="D10" s="40"/>
      <c r="E10" s="127" t="s">
        <v>155</v>
      </c>
      <c r="F10" s="127"/>
      <c r="G10" s="18"/>
      <c r="H10" s="42" t="s">
        <v>103</v>
      </c>
      <c r="I10" s="40"/>
      <c r="J10" s="127" t="s">
        <v>159</v>
      </c>
      <c r="K10" s="127"/>
      <c r="L10" s="2"/>
    </row>
    <row r="11" spans="2:16" ht="39.95" customHeight="true" thickBot="true">
      <c r="B11" s="12"/>
      <c r="C11" s="15"/>
      <c r="D11" s="15"/>
      <c r="E11" s="118"/>
      <c r="F11" s="118"/>
      <c r="G11" s="18"/>
      <c r="H11" s="15"/>
      <c r="I11" s="15"/>
      <c r="J11" s="117"/>
      <c r="K11" s="117"/>
      <c r="L11" s="2"/>
    </row>
    <row r="12" spans="2:16" ht="30" customHeight="true" thickTop="true">
      <c r="B12" s="13"/>
      <c r="C12" s="9"/>
      <c r="D12" s="10"/>
      <c r="E12" s="10"/>
      <c r="F12" s="86"/>
      <c r="G12" s="8"/>
      <c r="H12" s="9"/>
      <c r="I12" s="9"/>
      <c r="J12" s="10"/>
      <c r="K12" s="10"/>
      <c r="L12" s="8"/>
    </row>
    <row r="13" spans="2:16" ht="30" customHeight="true">
      <c r="B13" s="13"/>
      <c r="C13" s="5" t="s">
        <v>14</v>
      </c>
      <c r="D13" s="5"/>
      <c r="E13" s="3"/>
      <c r="F13" s="85"/>
      <c r="G13" s="8"/>
      <c r="H13" s="5">
        <f>"Health status ("&amp;SUM($D$15:$F$24)&amp;" of "&amp;85&amp;")"</f>
      </c>
      <c r="I13" s="8"/>
      <c r="J13" s="8"/>
      <c r="K13" s="8"/>
      <c r="L13" s="91"/>
    </row>
    <row r="14" spans="2:16" ht="30" customHeight="true">
      <c r="B14" s="13"/>
      <c r="C14" s="8"/>
      <c r="D14" s="16" t="s">
        <v>16</v>
      </c>
      <c r="E14" s="16" t="s">
        <v>31</v>
      </c>
      <c r="F14" s="87" t="s">
        <v>17</v>
      </c>
      <c r="G14" s="8"/>
      <c r="H14" s="8"/>
      <c r="I14" s="8"/>
      <c r="J14" s="8"/>
      <c r="K14" s="8"/>
      <c r="L14" s="98">
        <f>1-SUM($D$15:$F$24)/85</f>
      </c>
    </row>
    <row r="15" spans="2:16" ht="30" customHeight="true">
      <c r="B15" s="13"/>
      <c r="C15" s="15" t="s">
        <v>98</v>
      </c>
      <c r="D15" s="6">
        <v>1</v>
      </c>
      <c r="E15" s="6">
        <v>7</v>
      </c>
      <c r="F15" s="88">
        <v>2</v>
      </c>
      <c r="G15" s="8"/>
      <c r="H15" s="8"/>
      <c r="I15" s="8"/>
      <c r="J15" s="8"/>
      <c r="K15" s="8"/>
      <c r="L15" s="8"/>
    </row>
    <row r="16" spans="2:16" ht="30" customHeight="true">
      <c r="B16" s="13"/>
      <c r="C16" s="15" t="s">
        <v>99</v>
      </c>
      <c r="D16" s="6">
        <v>0</v>
      </c>
      <c r="E16" s="6">
        <v>1</v>
      </c>
      <c r="F16" s="88">
        <v>3</v>
      </c>
      <c r="G16" s="8"/>
      <c r="H16" s="8"/>
      <c r="I16" s="8"/>
      <c r="J16" s="8"/>
      <c r="K16" s="8"/>
      <c r="L16" s="8"/>
    </row>
    <row r="17" spans="2:12" ht="30" customHeight="true">
      <c r="B17" s="13"/>
      <c r="C17" s="15" t="s">
        <v>101</v>
      </c>
      <c r="D17" s="6">
        <v>0</v>
      </c>
      <c r="E17" s="6">
        <v>1</v>
      </c>
      <c r="F17" s="88">
        <v>0</v>
      </c>
      <c r="G17" s="8"/>
      <c r="H17" s="8"/>
      <c r="I17" s="8"/>
      <c r="J17" s="8"/>
      <c r="K17" s="8"/>
      <c r="L17" s="8"/>
    </row>
    <row r="18" spans="2:12" ht="30" customHeight="true">
      <c r="B18" s="13"/>
      <c r="C18" s="15" t="s">
        <v>102</v>
      </c>
      <c r="D18" s="6">
        <v>0</v>
      </c>
      <c r="E18" s="6">
        <v>0</v>
      </c>
      <c r="F18" s="88">
        <v>0</v>
      </c>
      <c r="G18" s="8"/>
      <c r="H18" s="8"/>
      <c r="I18" s="8"/>
      <c r="J18" s="8"/>
      <c r="K18" s="8"/>
      <c r="L18" s="8"/>
    </row>
    <row r="19" spans="2:12" ht="30" customHeight="true">
      <c r="B19" s="13"/>
      <c r="C19" s="15" t="s">
        <v>94</v>
      </c>
      <c r="D19" s="6">
        <v>0</v>
      </c>
      <c r="E19" s="6">
        <v>0</v>
      </c>
      <c r="F19" s="88">
        <v>0</v>
      </c>
      <c r="G19" s="8"/>
      <c r="H19" s="8"/>
      <c r="I19" s="5"/>
      <c r="J19" s="8"/>
      <c r="K19" s="8"/>
      <c r="L19" s="8"/>
    </row>
    <row r="20" spans="2:12" ht="30" customHeight="true">
      <c r="B20" s="13"/>
      <c r="C20" s="15" t="s">
        <v>95</v>
      </c>
      <c r="D20" s="6">
        <v>0</v>
      </c>
      <c r="E20" s="6">
        <v>0</v>
      </c>
      <c r="F20" s="88">
        <v>0</v>
      </c>
      <c r="G20" s="8"/>
      <c r="H20" s="8"/>
      <c r="I20" s="8"/>
      <c r="J20" s="8"/>
      <c r="K20" s="8"/>
      <c r="L20" s="8"/>
    </row>
    <row r="21" spans="2:12" ht="30" customHeight="true">
      <c r="B21" s="13"/>
      <c r="C21" s="15" t="s">
        <v>96</v>
      </c>
      <c r="D21" s="6">
        <v>1</v>
      </c>
      <c r="E21" s="6">
        <v>0</v>
      </c>
      <c r="F21" s="88">
        <v>0</v>
      </c>
      <c r="G21" s="8"/>
      <c r="H21" s="8"/>
      <c r="I21" s="8"/>
      <c r="J21" s="8"/>
      <c r="K21" s="8"/>
      <c r="L21" s="8"/>
    </row>
    <row r="22" spans="2:12" ht="30" customHeight="true">
      <c r="B22" s="13"/>
      <c r="C22" s="15" t="s">
        <v>97</v>
      </c>
      <c r="D22" s="6">
        <v>0</v>
      </c>
      <c r="E22" s="6">
        <v>1</v>
      </c>
      <c r="F22" s="88">
        <v>2</v>
      </c>
      <c r="G22" s="4"/>
      <c r="H22" s="8"/>
      <c r="I22" s="8"/>
      <c r="J22" s="8"/>
      <c r="K22" s="8"/>
      <c r="L22" s="8"/>
    </row>
    <row r="23" spans="2:12" ht="30" customHeight="true">
      <c r="B23" s="13"/>
      <c r="C23" s="15" t="s">
        <v>100</v>
      </c>
      <c r="D23" s="6">
        <v>0</v>
      </c>
      <c r="E23" s="6">
        <v>0</v>
      </c>
      <c r="F23" s="88">
        <v>1</v>
      </c>
      <c r="G23" s="4"/>
      <c r="H23" s="8"/>
      <c r="I23" s="8"/>
      <c r="J23" s="8"/>
      <c r="K23" s="8"/>
      <c r="L23" s="8"/>
    </row>
    <row r="24" spans="2:12" ht="30" customHeight="true">
      <c r="B24" s="13"/>
      <c r="C24" s="15" t="s">
        <v>15</v>
      </c>
      <c r="D24" s="6">
        <v>0</v>
      </c>
      <c r="E24" s="6">
        <v>0</v>
      </c>
      <c r="F24" s="88">
        <v>0</v>
      </c>
      <c r="G24" s="4"/>
      <c r="H24" s="8"/>
      <c r="I24" s="8"/>
      <c r="J24" s="8"/>
      <c r="K24" s="8"/>
      <c r="L24" s="8"/>
    </row>
    <row r="25" spans="2:12" ht="30" customHeight="true" thickBot="true">
      <c r="B25" s="13"/>
      <c r="C25" s="11"/>
      <c r="D25" s="7"/>
      <c r="E25" s="7"/>
      <c r="F25" s="89"/>
      <c r="G25" s="4"/>
      <c r="H25" s="8"/>
      <c r="I25" s="8"/>
      <c r="J25" s="8"/>
      <c r="K25" s="8"/>
      <c r="L25" s="8"/>
    </row>
    <row r="26" spans="2:12" ht="30" customHeight="true" thickTop="true">
      <c r="B26" s="13"/>
      <c r="C26" s="9"/>
      <c r="D26" s="10"/>
      <c r="E26" s="10"/>
      <c r="F26" s="86"/>
      <c r="G26" s="4"/>
      <c r="H26" s="8"/>
      <c r="I26" s="8"/>
      <c r="J26" s="8"/>
      <c r="K26" s="8"/>
      <c r="L26" s="8"/>
    </row>
    <row r="27" spans="2:12" ht="35.1" customHeight="true">
      <c r="B27" s="13"/>
      <c r="C27" s="5" t="s">
        <v>19</v>
      </c>
      <c r="D27" s="13"/>
      <c r="E27" s="13"/>
      <c r="F27" s="13"/>
      <c r="G27" s="13"/>
      <c r="H27" s="13"/>
      <c r="I27" s="13"/>
      <c r="J27" s="13"/>
      <c r="K27" s="13"/>
      <c r="L27" s="13"/>
    </row>
    <row r="28" spans="2:12" ht="24.95" customHeight="true" thickBot="true">
      <c r="B28" s="54" t="s">
        <v>20</v>
      </c>
      <c r="C28" s="55" t="s">
        <v>22</v>
      </c>
      <c r="D28" s="56" t="s">
        <v>24</v>
      </c>
      <c r="E28" s="55"/>
      <c r="F28" s="55" t="s">
        <v>25</v>
      </c>
      <c r="G28" s="57" t="s">
        <v>29</v>
      </c>
      <c r="H28" s="58" t="s">
        <v>21</v>
      </c>
      <c r="I28" s="54"/>
      <c r="J28" s="54"/>
      <c r="K28" s="59"/>
      <c r="L28" s="60"/>
    </row>
    <row r="29" spans="2:12" ht="42" customHeight="true" thickTop="true">
      <c r="B29" s="99">
        <v>1</v>
      </c>
      <c r="C29" s="26" t="s">
        <v>98</v>
      </c>
      <c r="D29" s="27" t="s">
        <v>34</v>
      </c>
      <c r="E29" s="28"/>
      <c r="F29" s="29">
        <v>0</v>
      </c>
      <c r="G29" s="47" t="s" cm="1">
        <v>221</v>
      </c>
      <c r="H29" s="119" t="s">
        <v>222</v>
      </c>
      <c r="I29" s="119"/>
      <c r="J29" s="119"/>
      <c r="K29" s="119"/>
      <c r="L29" s="50" t="str">
        <f>HYPERLINK("#OS!C17","Detail")</f>
      </c>
    </row>
    <row r="30" spans="2:12" ht="42" customHeight="true">
      <c r="B30" s="100">
        <v>2</v>
      </c>
      <c r="C30" s="31" t="s">
        <v>96</v>
      </c>
      <c r="D30" s="32" t="s">
        <v>96</v>
      </c>
      <c r="E30" s="31"/>
      <c r="F30" s="33">
        <v>0</v>
      </c>
      <c r="G30" s="48" t="s" cm="1">
        <v>221</v>
      </c>
      <c r="H30" s="116" t="s">
        <v>223</v>
      </c>
      <c r="I30" s="116"/>
      <c r="J30" s="116"/>
      <c r="K30" s="116"/>
      <c r="L30" s="51" t="str">
        <f>HYPERLINK("#DB!C39","Detail")</f>
      </c>
    </row>
    <row r="31" spans="2:12" ht="42" customHeight="true">
      <c r="B31" s="99">
        <v>3</v>
      </c>
      <c r="C31" s="28" t="s">
        <v>98</v>
      </c>
      <c r="D31" s="34" t="s">
        <v>224</v>
      </c>
      <c r="E31" s="28"/>
      <c r="F31" s="29">
        <v>5</v>
      </c>
      <c r="G31" s="47" t="s">
        <v>31</v>
      </c>
      <c r="H31" s="115" t="s">
        <v>225</v>
      </c>
      <c r="I31" s="115"/>
      <c r="J31" s="115"/>
      <c r="K31" s="115"/>
      <c r="L31" s="50" t="str">
        <f>HYPERLINK("#OS!C12","Detail")</f>
      </c>
    </row>
    <row r="32" spans="2:12" ht="42" customHeight="true">
      <c r="B32" s="100">
        <v>4</v>
      </c>
      <c r="C32" s="31" t="s">
        <v>98</v>
      </c>
      <c r="D32" s="32" t="s">
        <v>27</v>
      </c>
      <c r="E32" s="31"/>
      <c r="F32" s="33">
        <v>5</v>
      </c>
      <c r="G32" s="48" t="s">
        <v>31</v>
      </c>
      <c r="H32" s="116" t="s">
        <v>226</v>
      </c>
      <c r="I32" s="116"/>
      <c r="J32" s="116"/>
      <c r="K32" s="116"/>
      <c r="L32" s="51" t="str">
        <f>HYPERLINK("#OS!C11","Detail")</f>
      </c>
    </row>
    <row r="33" spans="2:12" ht="42" customHeight="true">
      <c r="B33" s="101">
        <v>5</v>
      </c>
      <c r="C33" s="35" t="s">
        <v>98</v>
      </c>
      <c r="D33" s="34" t="s">
        <v>227</v>
      </c>
      <c r="E33" s="35"/>
      <c r="F33" s="36">
        <v>5</v>
      </c>
      <c r="G33" s="49" t="s">
        <v>31</v>
      </c>
      <c r="H33" s="115" t="s">
        <v>228</v>
      </c>
      <c r="I33" s="115"/>
      <c r="J33" s="115"/>
      <c r="K33" s="115"/>
      <c r="L33" s="52" t="str">
        <f>HYPERLINK("#OS!C19","Detail")</f>
      </c>
    </row>
    <row r="34" spans="2:12" ht="42" customHeight="true">
      <c r="B34" s="102">
        <v>6</v>
      </c>
      <c r="C34" s="103" t="s">
        <v>98</v>
      </c>
      <c r="D34" s="103" t="s">
        <v>229</v>
      </c>
      <c r="E34" s="103"/>
      <c r="F34" s="96">
        <v>5</v>
      </c>
      <c r="G34" s="103" t="s">
        <v>31</v>
      </c>
      <c r="H34" s="116" t="s">
        <v>230</v>
      </c>
      <c r="I34" s="116"/>
      <c r="J34" s="116"/>
      <c r="K34" s="116"/>
      <c r="L34" s="53" t="str">
        <f>HYPERLINK("#OS!C26","Detail")</f>
      </c>
    </row>
    <row r="35" spans="2:12" ht="42" customHeight="true">
      <c r="B35" s="101">
        <v>7</v>
      </c>
      <c r="C35" s="35" t="s">
        <v>98</v>
      </c>
      <c r="D35" s="34" t="s">
        <v>231</v>
      </c>
      <c r="E35" s="35"/>
      <c r="F35" s="36">
        <v>5</v>
      </c>
      <c r="G35" s="49" t="s">
        <v>31</v>
      </c>
      <c r="H35" s="115" t="s">
        <v>232</v>
      </c>
      <c r="I35" s="115"/>
      <c r="J35" s="115"/>
      <c r="K35" s="115"/>
      <c r="L35" s="52" t="str">
        <f>HYPERLINK("#OS!C27","Detail")</f>
      </c>
    </row>
    <row r="36" spans="2:12" ht="42" customHeight="true">
      <c r="B36" s="100">
        <v>8</v>
      </c>
      <c r="C36" s="31" t="s">
        <v>98</v>
      </c>
      <c r="D36" s="32" t="s">
        <v>233</v>
      </c>
      <c r="E36" s="31"/>
      <c r="F36" s="33">
        <v>5</v>
      </c>
      <c r="G36" s="48" t="s">
        <v>31</v>
      </c>
      <c r="H36" s="116" t="s">
        <v>234</v>
      </c>
      <c r="I36" s="116"/>
      <c r="J36" s="116"/>
      <c r="K36" s="116"/>
      <c r="L36" s="51" t="str">
        <f>HYPERLINK("#OS!C30","Detail")</f>
      </c>
    </row>
    <row r="37" spans="2:12" ht="42" customHeight="true">
      <c r="B37" s="101">
        <v>9</v>
      </c>
      <c r="C37" s="35" t="s">
        <v>98</v>
      </c>
      <c r="D37" s="34" t="s">
        <v>27</v>
      </c>
      <c r="E37" s="35"/>
      <c r="F37" s="36">
        <v>5</v>
      </c>
      <c r="G37" s="49" t="s">
        <v>31</v>
      </c>
      <c r="H37" s="115" t="s">
        <v>235</v>
      </c>
      <c r="I37" s="115"/>
      <c r="J37" s="115"/>
      <c r="K37" s="115"/>
      <c r="L37" s="52" t="str">
        <f>HYPERLINK("#OS!C11","Detail")</f>
      </c>
    </row>
    <row r="38" spans="2:12" ht="42" customHeight="true">
      <c r="B38" s="102">
        <v>10</v>
      </c>
      <c r="C38" s="103" t="s">
        <v>99</v>
      </c>
      <c r="D38" s="103" t="s">
        <v>236</v>
      </c>
      <c r="E38" s="103"/>
      <c r="F38" s="96">
        <v>5</v>
      </c>
      <c r="G38" s="103" t="s">
        <v>31</v>
      </c>
      <c r="H38" s="116" t="s">
        <v>237</v>
      </c>
      <c r="I38" s="116"/>
      <c r="J38" s="116"/>
      <c r="K38" s="116"/>
      <c r="L38" s="53" t="str">
        <f>HYPERLINK("#DB!C26","Detail")</f>
      </c>
    </row>
    <row r="39" spans="2:12" ht="42" customHeight="true">
      <c r="B39" s="101">
        <v>11</v>
      </c>
      <c r="C39" s="35" t="s">
        <v>101</v>
      </c>
      <c r="D39" s="34" t="s">
        <v>238</v>
      </c>
      <c r="E39" s="35"/>
      <c r="F39" s="36">
        <v>5</v>
      </c>
      <c r="G39" s="49" t="s">
        <v>31</v>
      </c>
      <c r="H39" s="115" t="s">
        <v>239</v>
      </c>
      <c r="I39" s="115"/>
      <c r="J39" s="115"/>
      <c r="K39" s="115"/>
      <c r="L39" s="52" t="str">
        <f>HYPERLINK("#Inst!C15","Detail")</f>
      </c>
    </row>
    <row r="40" spans="2:12" ht="42" customHeight="true">
      <c r="B40" s="100">
        <v>12</v>
      </c>
      <c r="C40" s="31" t="s">
        <v>97</v>
      </c>
      <c r="D40" s="32" t="s">
        <v>240</v>
      </c>
      <c r="E40" s="31"/>
      <c r="F40" s="33">
        <v>5</v>
      </c>
      <c r="G40" s="48" t="s">
        <v>31</v>
      </c>
      <c r="H40" s="116" t="s">
        <v>241</v>
      </c>
      <c r="I40" s="116"/>
      <c r="J40" s="116"/>
      <c r="K40" s="116"/>
      <c r="L40" s="51" t="str">
        <f>HYPERLINK("#DB!C29","Detail")</f>
      </c>
    </row>
    <row r="41" spans="2:12" ht="42" customHeight="true">
      <c r="B41" s="101">
        <v>13</v>
      </c>
      <c r="C41" s="35" t="s">
        <v>98</v>
      </c>
      <c r="D41" s="34" t="s">
        <v>27</v>
      </c>
      <c r="E41" s="35"/>
      <c r="F41" s="36">
        <v>8</v>
      </c>
      <c r="G41" s="49" t="s">
        <v>17</v>
      </c>
      <c r="H41" s="115" t="s">
        <v>242</v>
      </c>
      <c r="I41" s="115"/>
      <c r="J41" s="115"/>
      <c r="K41" s="115"/>
      <c r="L41" s="52" t="str">
        <f>HYPERLINK("#OS!C11","Detail")</f>
      </c>
    </row>
    <row r="42" spans="2:12" ht="42" customHeight="true">
      <c r="B42" s="100">
        <v>14</v>
      </c>
      <c r="C42" s="31" t="s">
        <v>98</v>
      </c>
      <c r="D42" s="32" t="s">
        <v>27</v>
      </c>
      <c r="E42" s="31"/>
      <c r="F42" s="33">
        <v>8</v>
      </c>
      <c r="G42" s="48" t="s">
        <v>17</v>
      </c>
      <c r="H42" s="116" t="s">
        <v>243</v>
      </c>
      <c r="I42" s="116"/>
      <c r="J42" s="116"/>
      <c r="K42" s="116"/>
      <c r="L42" s="51" t="str">
        <f>HYPERLINK("#OS!C11","Detail")</f>
      </c>
    </row>
    <row r="43" spans="2:12" ht="42" customHeight="true">
      <c r="B43" s="101">
        <v>15</v>
      </c>
      <c r="C43" s="35" t="s">
        <v>99</v>
      </c>
      <c r="D43" s="34" t="s">
        <v>244</v>
      </c>
      <c r="E43" s="35"/>
      <c r="F43" s="36">
        <v>8</v>
      </c>
      <c r="G43" s="49" t="s">
        <v>17</v>
      </c>
      <c r="H43" s="115" t="s">
        <v>245</v>
      </c>
      <c r="I43" s="115"/>
      <c r="J43" s="115"/>
      <c r="K43" s="115"/>
      <c r="L43" s="52" t="str">
        <f>HYPERLINK("#DB!C23","Detail")</f>
      </c>
    </row>
    <row r="44" spans="2:12" ht="42" customHeight="true">
      <c r="B44" s="100">
        <v>16</v>
      </c>
      <c r="C44" s="31" t="s">
        <v>99</v>
      </c>
      <c r="D44" s="32" t="s">
        <v>246</v>
      </c>
      <c r="E44" s="31"/>
      <c r="F44" s="33">
        <v>8</v>
      </c>
      <c r="G44" s="48" t="s">
        <v>17</v>
      </c>
      <c r="H44" s="116" t="s">
        <v>247</v>
      </c>
      <c r="I44" s="116"/>
      <c r="J44" s="116"/>
      <c r="K44" s="116"/>
      <c r="L44" s="51" t="str">
        <f>HYPERLINK("#DB!C25","Detail")</f>
      </c>
    </row>
    <row r="45" spans="2:12" ht="42" customHeight="true">
      <c r="B45" s="101">
        <v>17</v>
      </c>
      <c r="C45" s="35" t="s">
        <v>99</v>
      </c>
      <c r="D45" s="34" t="s">
        <v>244</v>
      </c>
      <c r="E45" s="35"/>
      <c r="F45" s="36">
        <v>8</v>
      </c>
      <c r="G45" s="49" t="s">
        <v>17</v>
      </c>
      <c r="H45" s="115" t="s">
        <v>248</v>
      </c>
      <c r="I45" s="115"/>
      <c r="J45" s="115"/>
      <c r="K45" s="115"/>
      <c r="L45" s="52" t="str">
        <f>HYPERLINK("#DB!C23","Detail")</f>
      </c>
    </row>
    <row r="46" spans="2:12" ht="42" customHeight="true">
      <c r="B46" s="102">
        <v>18</v>
      </c>
      <c r="C46" s="103" t="s">
        <v>97</v>
      </c>
      <c r="D46" s="103" t="s">
        <v>249</v>
      </c>
      <c r="E46" s="103"/>
      <c r="F46" s="96">
        <v>8</v>
      </c>
      <c r="G46" s="103" t="s">
        <v>17</v>
      </c>
      <c r="H46" s="116" t="s">
        <v>250</v>
      </c>
      <c r="I46" s="116"/>
      <c r="J46" s="116"/>
      <c r="K46" s="116"/>
      <c r="L46" s="53" t="str">
        <f>HYPERLINK("#DB!C30","Detail")</f>
      </c>
    </row>
    <row r="47" spans="2:12" ht="42" customHeight="true">
      <c r="B47" s="101">
        <v>19</v>
      </c>
      <c r="C47" s="35" t="s">
        <v>97</v>
      </c>
      <c r="D47" s="34" t="s">
        <v>251</v>
      </c>
      <c r="E47" s="35"/>
      <c r="F47" s="36">
        <v>8</v>
      </c>
      <c r="G47" s="49" t="s">
        <v>17</v>
      </c>
      <c r="H47" s="115" t="s">
        <v>252</v>
      </c>
      <c r="I47" s="115"/>
      <c r="J47" s="115"/>
      <c r="K47" s="115"/>
      <c r="L47" s="52" t="str">
        <f>HYPERLINK("#DB!C31","Detail")</f>
      </c>
    </row>
    <row r="48" spans="2:12" ht="42" customHeight="true">
      <c r="B48" s="100">
        <v>20</v>
      </c>
      <c r="C48" s="31" t="s">
        <v>100</v>
      </c>
      <c r="D48" s="32" t="s">
        <v>253</v>
      </c>
      <c r="E48" s="31"/>
      <c r="F48" s="33">
        <v>8</v>
      </c>
      <c r="G48" s="48" t="s">
        <v>17</v>
      </c>
      <c r="H48" s="116" t="s">
        <v>254</v>
      </c>
      <c r="I48" s="116"/>
      <c r="J48" s="116"/>
      <c r="K48" s="116"/>
      <c r="L48" s="51" t="str">
        <f>HYPERLINK("#Inst!C9","Detail")</f>
      </c>
    </row>
    <row r="49" spans="2:12" ht="42" customHeight="true">
      <c r="B49" s="100"/>
      <c r="C49" s="31"/>
      <c r="D49" s="32"/>
      <c r="E49" s="31"/>
      <c r="F49" s="33"/>
      <c r="G49" s="48"/>
      <c r="H49" s="116"/>
      <c r="I49" s="116"/>
      <c r="J49" s="116"/>
      <c r="K49" s="116"/>
      <c r="L49" s="51"/>
    </row>
    <row r="50" spans="2:12" ht="42" customHeight="true">
      <c r="B50" s="101"/>
      <c r="C50" s="35"/>
      <c r="D50" s="34"/>
      <c r="E50" s="35"/>
      <c r="F50" s="36"/>
      <c r="G50" s="49"/>
      <c r="H50" s="115"/>
      <c r="I50" s="115"/>
      <c r="J50" s="115"/>
      <c r="K50" s="115"/>
      <c r="L50" s="52"/>
    </row>
    <row r="51" spans="2:12" ht="42" customHeight="true">
      <c r="B51" s="100"/>
      <c r="C51" s="31"/>
      <c r="D51" s="32"/>
      <c r="E51" s="31"/>
      <c r="F51" s="33"/>
      <c r="G51" s="48"/>
      <c r="H51" s="116"/>
      <c r="I51" s="116"/>
      <c r="J51" s="116"/>
      <c r="K51" s="116"/>
      <c r="L51" s="51"/>
    </row>
    <row r="52" spans="2:12" ht="42" customHeight="true">
      <c r="B52" s="101"/>
      <c r="C52" s="35"/>
      <c r="D52" s="34"/>
      <c r="E52" s="35"/>
      <c r="F52" s="36"/>
      <c r="G52" s="49"/>
      <c r="H52" s="115"/>
      <c r="I52" s="115"/>
      <c r="J52" s="115"/>
      <c r="K52" s="115"/>
      <c r="L52" s="52"/>
    </row>
    <row r="53" spans="2:12" ht="42" customHeight="true">
      <c r="B53" s="100"/>
      <c r="C53" s="31"/>
      <c r="D53" s="32"/>
      <c r="E53" s="31"/>
      <c r="F53" s="33"/>
      <c r="G53" s="48"/>
      <c r="H53" s="125" t="s">
        <v>149</v>
      </c>
      <c r="I53" s="125"/>
      <c r="J53" s="125"/>
      <c r="K53" s="125"/>
      <c r="L53" s="51"/>
    </row>
    <row r="54" spans="2:12" ht="9" customHeight="true">
      <c r="B54" s="99"/>
      <c r="C54" s="28"/>
      <c r="D54" s="34"/>
      <c r="E54" s="28"/>
      <c r="F54" s="29"/>
      <c r="G54" s="47"/>
      <c r="H54" s="124"/>
      <c r="I54" s="124"/>
      <c r="J54" s="124"/>
      <c r="K54" s="124"/>
      <c r="L54" s="50"/>
    </row>
    <row r="55" spans="2:12" ht="5.25" customHeight="true" thickBot="true">
      <c r="B55" s="54"/>
      <c r="C55" s="55"/>
      <c r="D55" s="56"/>
      <c r="E55" s="55"/>
      <c r="F55" s="55"/>
      <c r="G55" s="57"/>
      <c r="H55" s="58"/>
      <c r="I55" s="54"/>
      <c r="J55" s="54"/>
      <c r="K55" s="59"/>
      <c r="L55" s="60"/>
    </row>
    <row r="56" spans="2:12" ht="12.75" customHeight="true" thickTop="true">
      <c r="B56" s="30"/>
      <c r="C56" s="104"/>
      <c r="D56" s="104"/>
      <c r="E56" s="105"/>
      <c r="F56" s="106"/>
      <c r="G56" s="107"/>
      <c r="H56" s="122"/>
      <c r="I56" s="122"/>
      <c r="J56" s="122"/>
      <c r="K56" s="122"/>
      <c r="L56" s="51"/>
    </row>
    <row r="57" spans="2:12" ht="39.95" customHeight="true">
      <c r="H57" s="123"/>
      <c r="I57" s="123"/>
      <c r="J57" s="123"/>
      <c r="K57" s="123"/>
    </row>
    <row r="58" spans="2:12" ht="39.95" customHeight="true">
      <c r="H58" s="120"/>
      <c r="I58" s="120"/>
      <c r="J58" s="121"/>
      <c r="K58" s="120"/>
    </row>
    <row r="59" spans="2:12" ht="39.95" customHeight="true">
      <c r="J59" s="14"/>
      <c r="K59" s="97"/>
    </row>
    <row r="60" spans="2:12" ht="39.95" customHeight="true">
      <c r="J60" s="14"/>
    </row>
    <row r="61" spans="2:12" ht="39.95" customHeight="true"/>
    <row r="62" spans="2:12" ht="15"/>
    <row r="63" spans="2:12" ht="39.95" customHeight="true"/>
    <row r="64" spans="2:12" ht="39.95" customHeight="true">
      <c r="J64" s="14"/>
    </row>
    <row r="65" spans="2:12" ht="39.95" customHeight="true">
      <c r="J65" s="14"/>
    </row>
    <row r="66" spans="2:12" ht="39.95" customHeight="true">
      <c r="J66" s="14"/>
    </row>
  </sheetData>
  <dataConsolidate/>
  <mergeCells count="45">
    <mergeCell ref="H56:K56"/>
    <mergeCell ref="H57:K57"/>
    <mergeCell ref="H54:K54"/>
    <mergeCell ref="H49:K49"/>
    <mergeCell ref="H50:K50"/>
    <mergeCell ref="H51:K51"/>
    <mergeCell ref="H52:K52"/>
    <mergeCell ref="H53:K53"/>
    <mergeCell ref="H58:K58"/>
    <mergeCell ref="H47:K47"/>
    <mergeCell ref="H48:K48"/>
    <mergeCell ref="J11:K11"/>
    <mergeCell ref="H32:K32"/>
    <mergeCell ref="E9:F9"/>
    <mergeCell ref="E10:F10"/>
    <mergeCell ref="E11:F11"/>
    <mergeCell ref="H29:K29"/>
    <mergeCell ref="H30:K30"/>
    <mergeCell ref="H31:K31"/>
    <mergeCell ref="E8:F8"/>
    <mergeCell ref="J8:K8"/>
    <mergeCell ref="J9:K9"/>
    <mergeCell ref="J10:K10"/>
    <mergeCell ref="J4:K4"/>
    <mergeCell ref="J5:K5"/>
    <mergeCell ref="J6:K6"/>
    <mergeCell ref="J7:K7"/>
    <mergeCell ref="E4:F4"/>
    <mergeCell ref="E5:F5"/>
    <mergeCell ref="E6:F6"/>
    <mergeCell ref="E7:F7"/>
    <mergeCell ref="H33:K33"/>
    <mergeCell ref="H46:K46"/>
    <mergeCell ref="H43:K43"/>
    <mergeCell ref="H45:K45"/>
    <mergeCell ref="H34:K34"/>
    <mergeCell ref="H36:K36"/>
    <mergeCell ref="H38:K38"/>
    <mergeCell ref="H40:K40"/>
    <mergeCell ref="H42:K42"/>
    <mergeCell ref="H44:K44"/>
    <mergeCell ref="H41:K41"/>
    <mergeCell ref="H39:K39"/>
    <mergeCell ref="H37:K37"/>
    <mergeCell ref="H35:K35"/>
  </mergeCells>
  <phoneticPr fontId="14" type="noConversion"/>
  <dataValidations count="1" xWindow="250" yWindow="706">
    <dataValidation allowBlank="true" prompt="Purchasing Progress bar is in cells E5 through H7" showErrorMessage="true" showInputMessage="true" sqref="P7:P7"/>
  </dataValidations>
  <printOptions horizontalCentered="true"/>
  <pageMargins left="0.7" right="0.7" top="0.75" bottom="0.75" header="0.3" footer="0.3"/>
  <pageSetup fitToHeight="0" r:id="rId1" orientation="portrait" scale="58"/>
  <headerFooter differentFirst="true">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iconSet" priority="4" id="{5A0B404C-F42C-4492-B16D-3985957F87AE}">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F83:F85 F29:F81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A4F4-B1FA-4569-9A5C-4430E8288027}">
  <dimension ref="A1:AB30"/>
  <sheetViews>
    <sheetView zoomScaleNormal="100" workbookViewId="0">
      <pane activePane="bottomRight" state="frozen" topLeftCell="B3" xSplit="1" ySplit="2"/>
      <selection activeCell="B1" pane="topRight" sqref="B1"/>
      <selection activeCell="A2" pane="bottomLeft" sqref="A2"/>
      <selection activeCell="E7" pane="bottomRight" sqref="E7"/>
    </sheetView>
  </sheetViews>
  <sheetFormatPr defaultRowHeight="15.75"/>
  <cols>
    <col bestFit="true" customWidth="true" max="1" min="1" style="64" width="15.375"/>
    <col customWidth="true" max="2" min="2" style="81" width="7.625"/>
    <col customWidth="true" max="4" min="3" style="45" width="90.625"/>
    <col customWidth="true" max="5" min="5" style="24" width="9"/>
    <col customWidth="true" max="28" min="6" style="24" width="70"/>
    <col max="16384" min="29" style="25" width="9"/>
  </cols>
  <sheetData>
    <row r="1" spans="1:28">
      <c r="A1" s="90" t="s">
        <v>106</v>
      </c>
      <c r="B1" s="90" t="s">
        <v>105</v>
      </c>
      <c r="C1" s="90" t="s">
        <v>160</v>
      </c>
      <c r="D1" s="90"/>
    </row>
    <row r="2" spans="1:28" s="62" customFormat="true" ht="17.25">
      <c r="A2" s="63" t="s">
        <v>33</v>
      </c>
      <c r="B2" s="76">
        <v>10</v>
      </c>
      <c r="C2" s="67" t="s">
        <v>150</v>
      </c>
      <c r="D2" s="46"/>
      <c r="E2" s="61"/>
      <c r="F2" s="61"/>
      <c r="G2" s="61"/>
      <c r="H2" s="61"/>
      <c r="I2" s="61"/>
      <c r="J2" s="61"/>
      <c r="K2" s="61"/>
      <c r="L2" s="61"/>
      <c r="M2" s="61"/>
      <c r="N2" s="61"/>
      <c r="O2" s="61"/>
      <c r="P2" s="61"/>
      <c r="Q2" s="61"/>
      <c r="R2" s="61"/>
      <c r="S2" s="61"/>
      <c r="T2" s="61"/>
      <c r="U2" s="61"/>
      <c r="V2" s="61"/>
      <c r="W2" s="61"/>
      <c r="X2" s="61"/>
      <c r="Y2" s="61"/>
      <c r="Z2" s="61"/>
      <c r="AA2" s="61"/>
      <c r="AB2" s="61"/>
    </row>
    <row r="3" spans="1:28" ht="17.25">
      <c r="A3" s="63" t="s">
        <v>35</v>
      </c>
      <c r="B3" s="77">
        <v>10</v>
      </c>
      <c r="C3" s="70" t="s">
        <v>151</v>
      </c>
      <c r="D3" s="71"/>
    </row>
    <row r="4" spans="1:28" ht="17.25">
      <c r="A4" s="63" t="s">
        <v>87</v>
      </c>
      <c r="B4" s="78">
        <v>10</v>
      </c>
      <c r="C4" s="73" t="s">
        <v>82</v>
      </c>
      <c r="D4" s="75"/>
    </row>
    <row r="5" spans="1:28" ht="17.25">
      <c r="A5" s="63" t="s">
        <v>38</v>
      </c>
      <c r="B5" s="79">
        <v>10</v>
      </c>
      <c r="C5" s="72" t="s">
        <v>152</v>
      </c>
      <c r="D5" s="74"/>
    </row>
    <row r="6" spans="1:28" ht="17.25">
      <c r="A6" s="63" t="s">
        <v>76</v>
      </c>
      <c r="B6" s="78">
        <v>10</v>
      </c>
      <c r="C6" s="73" t="s">
        <v>153</v>
      </c>
      <c r="D6" s="75"/>
    </row>
    <row r="7" spans="1:28" ht="17.25">
      <c r="A7" s="63" t="s">
        <v>77</v>
      </c>
      <c r="B7" s="79">
        <v>10</v>
      </c>
      <c r="C7" s="72" t="s">
        <v>161</v>
      </c>
      <c r="D7" s="74"/>
      <c r="E7" s="37"/>
    </row>
    <row r="8" spans="1:28" ht="17.25">
      <c r="A8" s="63" t="s">
        <v>39</v>
      </c>
      <c r="B8" s="78">
        <v>10</v>
      </c>
      <c r="C8" s="73" t="s">
        <v>154</v>
      </c>
      <c r="D8" s="75"/>
    </row>
    <row r="9" spans="1:28" ht="17.25">
      <c r="A9" s="63" t="s">
        <v>86</v>
      </c>
      <c r="B9" s="79">
        <v>10</v>
      </c>
      <c r="C9" s="72" t="s">
        <v>155</v>
      </c>
      <c r="D9" s="74"/>
    </row>
    <row r="10" spans="1:28" ht="17.25">
      <c r="A10" s="63" t="s">
        <v>40</v>
      </c>
      <c r="B10" s="78">
        <v>10</v>
      </c>
      <c r="C10" s="73" t="s">
        <v>162</v>
      </c>
      <c r="D10" s="75"/>
    </row>
    <row r="11" spans="1:28" ht="17.25">
      <c r="A11" s="63" t="s">
        <v>27</v>
      </c>
      <c r="B11" s="79">
        <v>5</v>
      </c>
      <c r="C11" s="131" t="s">
        <v>163</v>
      </c>
      <c r="D11" s="74"/>
    </row>
    <row r="12" spans="1:28" ht="17.25">
      <c r="A12" s="63" t="s">
        <v>41</v>
      </c>
      <c r="B12" s="78">
        <v>5</v>
      </c>
      <c r="C12" s="131" t="s">
        <v>164</v>
      </c>
      <c r="D12" s="75"/>
    </row>
    <row r="13" spans="1:28" ht="17.25">
      <c r="A13" s="63" t="s">
        <v>36</v>
      </c>
      <c r="B13" s="79">
        <v>10</v>
      </c>
      <c r="C13" s="72" t="s">
        <v>165</v>
      </c>
      <c r="D13" s="74"/>
    </row>
    <row r="14" spans="1:28" ht="17.25">
      <c r="A14" s="63" t="s">
        <v>26</v>
      </c>
      <c r="B14" s="78">
        <v>10</v>
      </c>
      <c r="C14" s="73" t="s">
        <v>166</v>
      </c>
      <c r="D14" s="75"/>
    </row>
    <row r="15" spans="1:28" ht="17.25">
      <c r="A15" s="63" t="s">
        <v>42</v>
      </c>
      <c r="B15" s="79">
        <v>10</v>
      </c>
      <c r="C15" s="72" t="s">
        <v>167</v>
      </c>
      <c r="D15" s="74"/>
    </row>
    <row r="16" spans="1:28" ht="17.25">
      <c r="A16" s="63" t="s">
        <v>72</v>
      </c>
      <c r="B16" s="78">
        <v>10</v>
      </c>
      <c r="C16" s="73" t="s">
        <v>168</v>
      </c>
      <c r="D16" s="75"/>
    </row>
    <row r="17" spans="1:4" ht="17.25">
      <c r="A17" s="63" t="s">
        <v>34</v>
      </c>
      <c r="B17" s="79">
        <v>0</v>
      </c>
      <c r="C17" s="132" t="s">
        <v>169</v>
      </c>
      <c r="D17" s="74"/>
    </row>
    <row r="18" spans="1:4" ht="17.25">
      <c r="A18" s="63" t="s">
        <v>44</v>
      </c>
      <c r="B18" s="78">
        <v>10</v>
      </c>
      <c r="C18" s="73" t="s">
        <v>170</v>
      </c>
      <c r="D18" s="75"/>
    </row>
    <row r="19" spans="1:4" ht="17.25">
      <c r="A19" s="63" t="s">
        <v>43</v>
      </c>
      <c r="B19" s="79">
        <v>5</v>
      </c>
      <c r="C19" s="131" t="s">
        <v>171</v>
      </c>
      <c r="D19" s="74"/>
    </row>
    <row r="20" spans="1:4" ht="17.25">
      <c r="A20" s="63" t="s">
        <v>45</v>
      </c>
      <c r="B20" s="78">
        <v>10</v>
      </c>
      <c r="C20" s="73" t="s">
        <v>172</v>
      </c>
      <c r="D20" s="75"/>
    </row>
    <row r="21" spans="1:4" ht="17.25">
      <c r="A21" s="63" t="s">
        <v>46</v>
      </c>
      <c r="B21" s="79">
        <v>10</v>
      </c>
      <c r="C21" s="72" t="s">
        <v>173</v>
      </c>
      <c r="D21" s="74"/>
    </row>
    <row r="22" spans="1:4" ht="17.25">
      <c r="A22" s="63" t="s">
        <v>47</v>
      </c>
      <c r="B22" s="78">
        <v>10</v>
      </c>
      <c r="C22" s="73" t="s">
        <v>174</v>
      </c>
      <c r="D22" s="75"/>
    </row>
    <row r="23" spans="1:4" ht="17.25">
      <c r="A23" s="63" t="s">
        <v>48</v>
      </c>
      <c r="B23" s="79">
        <v>10</v>
      </c>
      <c r="C23" s="72" t="s">
        <v>175</v>
      </c>
      <c r="D23" s="74"/>
    </row>
    <row r="24" spans="1:4" ht="17.25">
      <c r="A24" s="63" t="s">
        <v>78</v>
      </c>
      <c r="B24" s="78">
        <v>10</v>
      </c>
      <c r="C24" s="73" t="s">
        <v>176</v>
      </c>
      <c r="D24" s="75"/>
    </row>
    <row r="25" spans="1:4" ht="17.25">
      <c r="A25" s="63" t="s">
        <v>79</v>
      </c>
      <c r="B25" s="79">
        <v>10</v>
      </c>
      <c r="C25" s="72" t="s">
        <v>177</v>
      </c>
      <c r="D25" s="74"/>
    </row>
    <row r="26" spans="1:4" ht="17.25">
      <c r="A26" s="63" t="s">
        <v>111</v>
      </c>
      <c r="B26" s="78">
        <v>5</v>
      </c>
      <c r="C26" s="131" t="s">
        <v>178</v>
      </c>
      <c r="D26" s="75"/>
    </row>
    <row r="27" spans="1:4" ht="17.25">
      <c r="A27" s="63" t="s">
        <v>110</v>
      </c>
      <c r="B27" s="79">
        <v>5</v>
      </c>
      <c r="C27" s="131" t="s">
        <v>179</v>
      </c>
      <c r="D27" s="74"/>
    </row>
    <row r="28" spans="1:4" ht="17.25">
      <c r="A28" s="63" t="s">
        <v>109</v>
      </c>
      <c r="B28" s="78">
        <v>10</v>
      </c>
      <c r="C28" s="73" t="s">
        <v>180</v>
      </c>
      <c r="D28" s="75"/>
    </row>
    <row r="29" spans="1:4" ht="17.25">
      <c r="A29" s="63" t="s">
        <v>108</v>
      </c>
      <c r="B29" s="79">
        <v>10</v>
      </c>
      <c r="C29" s="72" t="s">
        <v>181</v>
      </c>
      <c r="D29" s="74"/>
    </row>
    <row r="30" spans="1:4" ht="17.25">
      <c r="A30" s="63" t="s">
        <v>107</v>
      </c>
      <c r="B30" s="80">
        <v>5</v>
      </c>
      <c r="C30" s="131" t="s">
        <v>182</v>
      </c>
      <c r="D30" s="68"/>
    </row>
  </sheetData>
  <phoneticPr fontId="14" type="noConversion"/>
  <dataValidations count="1">
    <dataValidation allowBlank="true" prompt="吞吞吐吐他" showErrorMessage="true" showInputMessage="true" sqref="B16:C16"/>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D97E0F2E-7D04-46E3-B6D0-66B86A3C3DF0}">
            <x14:iconSet iconSet="4Rating" showValue="0" custom="1">
              <x14:cfvo type="percent">
                <xm:f>0</xm:f>
              </x14:cfvo>
              <x14:cfvo type="percent">
                <xm:f>5</xm:f>
              </x14:cfvo>
              <x14:cfvo type="percent">
                <xm:f>8</xm:f>
              </x14:cfvo>
              <x14:cfvo type="num">
                <xm:f>10</xm:f>
              </x14:cfvo>
              <x14:cfIcon iconSet="3Symbols" iconId="0"/>
              <x14:cfIcon iconSet="3Flags" iconId="0"/>
              <x14:cfIcon iconSet="3Symbols" iconId="1"/>
              <x14:cfIcon iconSet="3Symbols" iconId="2"/>
            </x14:iconSet>
          </x14:cfRule>
          <xm:sqref>B2:B30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7FAC-338D-40AE-9A03-D56E1C0E6070}">
  <dimension ref="A1:AB48"/>
  <sheetViews>
    <sheetView zoomScaleNormal="100" workbookViewId="0">
      <pane activePane="bottomRight" state="frozen" topLeftCell="B19" xSplit="1" ySplit="2"/>
      <selection activeCell="B3" sqref="B3"/>
      <selection activeCell="B3" pane="topRight" sqref="B3"/>
      <selection activeCell="B3" pane="bottomLeft" sqref="B3"/>
      <selection activeCell="A29" pane="bottomRight" sqref="A29"/>
    </sheetView>
  </sheetViews>
  <sheetFormatPr defaultRowHeight="15.75"/>
  <cols>
    <col bestFit="true" customWidth="true" max="1" min="1" style="64" width="19.25"/>
    <col bestFit="true" customWidth="true" max="2" min="2" style="82" width="7.875"/>
    <col customWidth="true" max="4" min="3" style="45" width="90.625"/>
    <col customWidth="true" max="27" min="5" style="24" width="87.5"/>
    <col max="16384" min="28" style="25" width="9"/>
  </cols>
  <sheetData>
    <row r="1" spans="1:28">
      <c r="A1" s="90" t="s">
        <v>106</v>
      </c>
      <c r="B1" s="90" t="s">
        <v>105</v>
      </c>
      <c r="C1" s="90" t="s">
        <v>160</v>
      </c>
      <c r="D1" s="90"/>
      <c r="AB1" s="24"/>
    </row>
    <row r="2" spans="1:28" ht="17.25">
      <c r="A2" s="63" t="s">
        <v>49</v>
      </c>
      <c r="B2" s="76">
        <v>10</v>
      </c>
      <c r="C2" s="67" t="s">
        <v>156</v>
      </c>
      <c r="D2" s="46"/>
    </row>
    <row r="3" spans="1:28" ht="17.25">
      <c r="A3" s="63" t="s">
        <v>37</v>
      </c>
      <c r="B3" s="77">
        <v>10</v>
      </c>
      <c r="C3" s="70" t="s">
        <v>6</v>
      </c>
      <c r="D3" s="71"/>
      <c r="AB3" s="24"/>
    </row>
    <row r="4" spans="1:28" ht="17.25">
      <c r="A4" s="63" t="s">
        <v>52</v>
      </c>
      <c r="B4" s="78">
        <v>10</v>
      </c>
      <c r="C4" s="73" t="s">
        <v>157</v>
      </c>
      <c r="D4" s="75"/>
    </row>
    <row r="5" spans="1:28" ht="17.25">
      <c r="A5" s="63" t="s">
        <v>61</v>
      </c>
      <c r="B5" s="79">
        <v>10</v>
      </c>
      <c r="C5" s="72" t="s">
        <v>183</v>
      </c>
      <c r="D5" s="74"/>
    </row>
    <row r="6" spans="1:28" ht="17.25">
      <c r="A6" s="63" t="s">
        <v>64</v>
      </c>
      <c r="B6" s="78">
        <v>10</v>
      </c>
      <c r="C6" s="73" t="s">
        <v>158</v>
      </c>
      <c r="D6" s="75"/>
    </row>
    <row r="7" spans="1:28" ht="17.25">
      <c r="A7" s="63" t="s">
        <v>53</v>
      </c>
      <c r="B7" s="79">
        <v>10</v>
      </c>
      <c r="C7" s="72" t="s">
        <v>8</v>
      </c>
      <c r="D7" s="74"/>
    </row>
    <row r="8" spans="1:28" ht="17.25">
      <c r="A8" s="63" t="s">
        <v>54</v>
      </c>
      <c r="B8" s="78">
        <v>10</v>
      </c>
      <c r="C8" s="73" t="s">
        <v>184</v>
      </c>
      <c r="D8" s="75"/>
    </row>
    <row r="9" spans="1:28" ht="17.25">
      <c r="A9" s="63" t="s">
        <v>132</v>
      </c>
      <c r="B9" s="79">
        <v>10</v>
      </c>
      <c r="C9" s="72" t="s">
        <v>159</v>
      </c>
      <c r="D9" s="74"/>
    </row>
    <row r="10" spans="1:28" ht="17.25">
      <c r="A10" s="63" t="s">
        <v>90</v>
      </c>
      <c r="B10" s="78">
        <v>10</v>
      </c>
      <c r="C10" s="73" t="s">
        <v>185</v>
      </c>
      <c r="D10" s="75"/>
    </row>
    <row r="11" spans="1:28" ht="17.25">
      <c r="A11" s="63" t="s">
        <v>55</v>
      </c>
      <c r="B11" s="79">
        <v>10</v>
      </c>
      <c r="C11" s="72" t="s">
        <v>186</v>
      </c>
      <c r="D11" s="74"/>
    </row>
    <row r="12" spans="1:28" ht="17.25">
      <c r="A12" s="63" t="s">
        <v>112</v>
      </c>
      <c r="B12" s="78">
        <v>10</v>
      </c>
      <c r="C12" s="73" t="s">
        <v>187</v>
      </c>
      <c r="D12" s="75"/>
    </row>
    <row r="13" spans="1:28" ht="17.25">
      <c r="A13" s="63" t="s">
        <v>131</v>
      </c>
      <c r="B13" s="79">
        <v>10</v>
      </c>
      <c r="C13" s="72" t="s">
        <v>188</v>
      </c>
      <c r="D13" s="74"/>
    </row>
    <row r="14" spans="1:28" ht="17.25">
      <c r="A14" s="63" t="s">
        <v>56</v>
      </c>
      <c r="B14" s="78">
        <v>10</v>
      </c>
      <c r="C14" s="73" t="s">
        <v>189</v>
      </c>
      <c r="D14" s="75"/>
    </row>
    <row r="15" spans="1:28" ht="17.25">
      <c r="A15" s="63" t="s">
        <v>7</v>
      </c>
      <c r="B15" s="79">
        <v>10</v>
      </c>
      <c r="C15" s="72" t="s">
        <v>13</v>
      </c>
      <c r="D15" s="74"/>
    </row>
    <row r="16" spans="1:28" ht="17.25">
      <c r="A16" s="63" t="s">
        <v>28</v>
      </c>
      <c r="B16" s="78">
        <v>10</v>
      </c>
      <c r="C16" s="73" t="s">
        <v>190</v>
      </c>
      <c r="D16" s="75"/>
    </row>
    <row r="17" spans="1:4" ht="17.25">
      <c r="A17" s="63" t="s">
        <v>113</v>
      </c>
      <c r="B17" s="79">
        <v>10</v>
      </c>
      <c r="C17" s="72" t="s">
        <v>191</v>
      </c>
      <c r="D17" s="74"/>
    </row>
    <row r="18" spans="1:4" ht="17.25">
      <c r="A18" s="63" t="s">
        <v>59</v>
      </c>
      <c r="B18" s="78">
        <v>10</v>
      </c>
      <c r="C18" s="73" t="s">
        <v>192</v>
      </c>
      <c r="D18" s="75"/>
    </row>
    <row r="19" spans="1:4" ht="17.25">
      <c r="A19" s="63" t="s">
        <v>58</v>
      </c>
      <c r="B19" s="79">
        <v>10</v>
      </c>
      <c r="C19" s="72" t="s">
        <v>193</v>
      </c>
      <c r="D19" s="74"/>
    </row>
    <row r="20" spans="1:4" ht="17.25">
      <c r="A20" s="63" t="s">
        <v>60</v>
      </c>
      <c r="B20" s="78">
        <v>10</v>
      </c>
      <c r="C20" s="73" t="s">
        <v>194</v>
      </c>
      <c r="D20" s="75"/>
    </row>
    <row r="21" spans="1:4" ht="17.25">
      <c r="A21" s="63" t="s">
        <v>50</v>
      </c>
      <c r="B21" s="79">
        <v>10</v>
      </c>
      <c r="C21" s="72" t="s">
        <v>195</v>
      </c>
      <c r="D21" s="74"/>
    </row>
    <row r="22" spans="1:4" ht="17.25">
      <c r="A22" s="63" t="s">
        <v>51</v>
      </c>
      <c r="B22" s="78">
        <v>10</v>
      </c>
      <c r="C22" s="73" t="s">
        <v>195</v>
      </c>
      <c r="D22" s="75"/>
    </row>
    <row r="23" spans="1:4" ht="17.25">
      <c r="A23" s="63" t="s">
        <v>116</v>
      </c>
      <c r="B23" s="79">
        <v>8</v>
      </c>
      <c r="C23" s="133" t="s">
        <v>196</v>
      </c>
      <c r="D23" s="74"/>
    </row>
    <row r="24" spans="1:4" ht="17.25">
      <c r="A24" s="63" t="s">
        <v>117</v>
      </c>
      <c r="B24" s="78">
        <v>10</v>
      </c>
      <c r="C24" s="73" t="s">
        <v>195</v>
      </c>
      <c r="D24" s="75"/>
    </row>
    <row r="25" spans="1:4" ht="17.25">
      <c r="A25" s="63" t="s">
        <v>114</v>
      </c>
      <c r="B25" s="79">
        <v>5</v>
      </c>
      <c r="C25" s="131" t="s">
        <v>197</v>
      </c>
      <c r="D25" s="74"/>
    </row>
    <row r="26" spans="1:4" ht="17.25">
      <c r="A26" s="63" t="s">
        <v>115</v>
      </c>
      <c r="B26" s="78">
        <v>10</v>
      </c>
      <c r="C26" s="73" t="s">
        <v>195</v>
      </c>
      <c r="D26" s="75"/>
    </row>
    <row r="27" spans="1:4" ht="17.25">
      <c r="A27" s="63" t="s">
        <v>62</v>
      </c>
      <c r="B27" s="79">
        <v>10</v>
      </c>
      <c r="C27" s="72" t="s">
        <v>198</v>
      </c>
      <c r="D27" s="74"/>
    </row>
    <row r="28" spans="1:4" ht="17.25">
      <c r="A28" s="63" t="s">
        <v>63</v>
      </c>
      <c r="B28" s="78">
        <v>10</v>
      </c>
      <c r="C28" s="73" t="s">
        <v>199</v>
      </c>
      <c r="D28" s="75"/>
    </row>
    <row r="29" spans="1:4" ht="17.25">
      <c r="A29" s="63" t="s">
        <v>118</v>
      </c>
      <c r="B29" s="79">
        <v>8</v>
      </c>
      <c r="C29" s="133" t="s">
        <v>200</v>
      </c>
      <c r="D29" s="74"/>
    </row>
    <row r="30" spans="1:4" ht="17.25">
      <c r="A30" s="63" t="s">
        <v>130</v>
      </c>
      <c r="B30" s="78">
        <v>8</v>
      </c>
      <c r="C30" s="133" t="s">
        <v>201</v>
      </c>
      <c r="D30" s="75"/>
    </row>
    <row r="31" spans="1:4" ht="17.25">
      <c r="A31" s="63" t="s">
        <v>119</v>
      </c>
      <c r="B31" s="79">
        <v>8</v>
      </c>
      <c r="C31" s="133" t="s">
        <v>202</v>
      </c>
      <c r="D31" s="74"/>
    </row>
    <row r="32" spans="1:4" ht="17.25">
      <c r="A32" s="63" t="s">
        <v>120</v>
      </c>
      <c r="B32" s="78">
        <v>10</v>
      </c>
      <c r="C32" s="73" t="s">
        <v>195</v>
      </c>
      <c r="D32" s="75"/>
    </row>
    <row r="33" spans="1:4" ht="17.25">
      <c r="A33" s="63" t="s">
        <v>121</v>
      </c>
      <c r="B33" s="79">
        <v>10</v>
      </c>
      <c r="C33" s="72" t="s">
        <v>195</v>
      </c>
      <c r="D33" s="74"/>
    </row>
    <row r="34" spans="1:4" ht="17.25">
      <c r="A34" s="63" t="s">
        <v>122</v>
      </c>
      <c r="B34" s="78">
        <v>10</v>
      </c>
      <c r="C34" s="73" t="s">
        <v>203</v>
      </c>
      <c r="D34" s="75"/>
    </row>
    <row r="35" spans="1:4" ht="17.25">
      <c r="A35" s="63" t="s">
        <v>123</v>
      </c>
      <c r="B35" s="79">
        <v>10</v>
      </c>
      <c r="C35" s="72" t="s">
        <v>195</v>
      </c>
      <c r="D35" s="74"/>
    </row>
    <row r="36" spans="1:4" ht="17.25">
      <c r="A36" s="63" t="s">
        <v>124</v>
      </c>
      <c r="B36" s="78">
        <v>10</v>
      </c>
      <c r="C36" s="73" t="s">
        <v>204</v>
      </c>
      <c r="D36" s="75"/>
    </row>
    <row r="37" spans="1:4" ht="17.25">
      <c r="A37" s="63" t="s">
        <v>125</v>
      </c>
      <c r="B37" s="79">
        <v>10</v>
      </c>
      <c r="C37" s="72" t="s">
        <v>195</v>
      </c>
      <c r="D37" s="74"/>
    </row>
    <row r="38" spans="1:4" ht="17.25">
      <c r="A38" s="63" t="s">
        <v>126</v>
      </c>
      <c r="B38" s="78">
        <v>10</v>
      </c>
      <c r="C38" s="73" t="s">
        <v>205</v>
      </c>
      <c r="D38" s="75"/>
    </row>
    <row r="39" spans="1:4" ht="17.25">
      <c r="A39" s="63" t="s">
        <v>127</v>
      </c>
      <c r="B39" s="79">
        <v>0</v>
      </c>
      <c r="C39" s="132" t="s">
        <v>195</v>
      </c>
      <c r="D39" s="74"/>
    </row>
    <row r="40" spans="1:4" ht="17.25">
      <c r="A40" s="63" t="s">
        <v>91</v>
      </c>
      <c r="B40" s="78">
        <v>10</v>
      </c>
      <c r="C40" s="73" t="s">
        <v>204</v>
      </c>
      <c r="D40" s="75"/>
    </row>
    <row r="41" spans="1:4" ht="17.25">
      <c r="A41" s="63" t="s">
        <v>91</v>
      </c>
      <c r="B41" s="79">
        <v>10</v>
      </c>
      <c r="C41" s="72" t="s">
        <v>204</v>
      </c>
      <c r="D41" s="74"/>
    </row>
    <row r="42" spans="1:4" ht="17.25">
      <c r="A42" s="63" t="s">
        <v>92</v>
      </c>
      <c r="B42" s="78">
        <v>10</v>
      </c>
      <c r="C42" s="73" t="s">
        <v>204</v>
      </c>
      <c r="D42" s="75"/>
    </row>
    <row r="43" spans="1:4" ht="17.25">
      <c r="A43" s="63" t="s">
        <v>128</v>
      </c>
      <c r="B43" s="79">
        <v>10</v>
      </c>
      <c r="C43" s="72" t="s">
        <v>204</v>
      </c>
      <c r="D43" s="74"/>
    </row>
    <row r="44" spans="1:4" ht="17.25">
      <c r="A44" s="63" t="s">
        <v>93</v>
      </c>
      <c r="B44" s="78">
        <v>10</v>
      </c>
      <c r="C44" s="73" t="s">
        <v>204</v>
      </c>
      <c r="D44" s="75"/>
    </row>
    <row r="45" spans="1:4" ht="17.25">
      <c r="A45" s="63" t="s">
        <v>129</v>
      </c>
      <c r="B45" s="80">
        <v>10</v>
      </c>
      <c r="C45" s="69" t="s">
        <v>204</v>
      </c>
      <c r="D45" s="68"/>
    </row>
    <row r="46"/>
    <row r="47"/>
    <row r="48" spans="1:4">
      <c r="C48" s="66"/>
    </row>
  </sheetData>
  <phoneticPr fontId="14" type="noConversion"/>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EAAF7DD6-57C5-427F-BD84-B7CA83805024}">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3CED-92E7-4A64-BF87-00E3B3B76718}">
  <dimension ref="A1:AB22"/>
  <sheetViews>
    <sheetView workbookViewId="0">
      <pane activePane="bottomRight" state="frozen" topLeftCell="B3" xSplit="1" ySplit="2"/>
      <selection activeCell="B1" pane="topRight" sqref="B1"/>
      <selection activeCell="A2" pane="bottomLeft" sqref="A2"/>
      <selection activeCell="C15" pane="bottomRight" sqref="C15"/>
    </sheetView>
  </sheetViews>
  <sheetFormatPr defaultRowHeight="15"/>
  <cols>
    <col bestFit="true" customWidth="true" max="1" min="1" style="65" width="15.125"/>
    <col customWidth="true" max="2" min="2" style="83" width="7.625"/>
    <col customWidth="true" max="4" min="3" style="44" width="100.625"/>
  </cols>
  <sheetData>
    <row r="1" spans="1:28" s="25" customFormat="true" ht="15.75">
      <c r="A1" s="90" t="s">
        <v>106</v>
      </c>
      <c r="B1" s="90" t="s">
        <v>105</v>
      </c>
      <c r="C1" s="90" t="s">
        <v>160</v>
      </c>
      <c r="D1" s="90"/>
      <c r="E1" s="24"/>
      <c r="F1" s="24"/>
      <c r="G1" s="24"/>
      <c r="H1" s="24"/>
      <c r="I1" s="24"/>
      <c r="J1" s="24"/>
      <c r="K1" s="24"/>
      <c r="L1" s="24"/>
      <c r="M1" s="24"/>
      <c r="N1" s="24"/>
      <c r="O1" s="24"/>
      <c r="P1" s="24"/>
      <c r="Q1" s="24"/>
      <c r="R1" s="24"/>
      <c r="S1" s="24"/>
      <c r="T1" s="24"/>
      <c r="U1" s="24"/>
      <c r="V1" s="24"/>
      <c r="W1" s="24"/>
      <c r="X1" s="24"/>
      <c r="Y1" s="24"/>
      <c r="Z1" s="24"/>
      <c r="AA1" s="24"/>
      <c r="AB1" s="24"/>
    </row>
    <row r="2" spans="1:28" ht="17.25">
      <c r="A2" s="63" t="s">
        <v>66</v>
      </c>
      <c r="B2" s="77">
        <v>10</v>
      </c>
      <c r="C2" s="70" t="s">
        <v>156</v>
      </c>
      <c r="D2" s="71"/>
    </row>
    <row r="3" spans="1:28" ht="17.25">
      <c r="A3" s="63" t="s">
        <v>68</v>
      </c>
      <c r="B3" s="78">
        <v>10</v>
      </c>
      <c r="C3" s="73" t="s">
        <v>195</v>
      </c>
      <c r="D3" s="75"/>
    </row>
    <row r="4" spans="1:28" ht="17.25">
      <c r="A4" s="63" t="s">
        <v>71</v>
      </c>
      <c r="B4" s="79">
        <v>10</v>
      </c>
      <c r="C4" s="72" t="s">
        <v>195</v>
      </c>
      <c r="D4" s="74"/>
    </row>
    <row r="5" spans="1:28" ht="17.25">
      <c r="A5" s="63" t="s">
        <v>74</v>
      </c>
      <c r="B5" s="78">
        <v>10</v>
      </c>
      <c r="C5" s="73" t="s">
        <v>195</v>
      </c>
      <c r="D5" s="75"/>
    </row>
    <row r="6" spans="1:28" ht="17.25">
      <c r="A6" s="63" t="s">
        <v>75</v>
      </c>
      <c r="B6" s="79">
        <v>10</v>
      </c>
      <c r="C6" s="92" t="s">
        <v>206</v>
      </c>
      <c r="D6" s="93"/>
    </row>
    <row r="7" spans="1:28" ht="17.25">
      <c r="A7" s="63" t="s">
        <v>140</v>
      </c>
      <c r="B7" s="78">
        <v>10</v>
      </c>
      <c r="C7" s="73" t="s">
        <v>195</v>
      </c>
      <c r="D7" s="75"/>
    </row>
    <row r="8" spans="1:28" s="25" customFormat="true" ht="17.25">
      <c r="A8" s="63" t="s">
        <v>146</v>
      </c>
      <c r="B8" s="112">
        <v>10</v>
      </c>
      <c r="C8" s="113" t="s">
        <v>207</v>
      </c>
      <c r="D8" s="114"/>
      <c r="E8" s="24"/>
      <c r="F8" s="24"/>
      <c r="G8" s="24"/>
      <c r="H8" s="24"/>
      <c r="I8" s="24"/>
      <c r="J8" s="24"/>
      <c r="K8" s="24"/>
      <c r="L8" s="24"/>
      <c r="M8" s="24"/>
      <c r="N8" s="24"/>
      <c r="O8" s="24"/>
      <c r="P8" s="24"/>
      <c r="Q8" s="24"/>
      <c r="R8" s="24"/>
      <c r="S8" s="24"/>
      <c r="T8" s="24"/>
      <c r="U8" s="24"/>
      <c r="V8" s="24"/>
      <c r="W8" s="24"/>
      <c r="X8" s="24"/>
      <c r="Y8" s="24"/>
      <c r="Z8" s="24"/>
      <c r="AA8" s="24"/>
    </row>
    <row r="9" spans="1:28" s="25" customFormat="true" ht="17.25">
      <c r="A9" s="63" t="s">
        <v>145</v>
      </c>
      <c r="B9" s="112">
        <v>10</v>
      </c>
      <c r="C9" s="113" t="s">
        <v>208</v>
      </c>
      <c r="D9" s="114"/>
      <c r="E9" s="24"/>
      <c r="F9" s="24"/>
      <c r="G9" s="24"/>
      <c r="H9" s="24"/>
      <c r="I9" s="24"/>
      <c r="J9" s="24"/>
      <c r="K9" s="24"/>
      <c r="L9" s="24"/>
      <c r="M9" s="24"/>
      <c r="N9" s="24"/>
      <c r="O9" s="24"/>
      <c r="P9" s="24"/>
      <c r="Q9" s="24"/>
      <c r="R9" s="24"/>
      <c r="S9" s="24"/>
      <c r="T9" s="24"/>
      <c r="U9" s="24"/>
      <c r="V9" s="24"/>
      <c r="W9" s="24"/>
      <c r="X9" s="24"/>
      <c r="Y9" s="24"/>
      <c r="Z9" s="24"/>
      <c r="AA9" s="24"/>
    </row>
    <row r="10" spans="1:28" s="25" customFormat="true" ht="17.25">
      <c r="A10" s="63" t="s">
        <v>141</v>
      </c>
      <c r="B10" s="79">
        <v>10</v>
      </c>
      <c r="C10" s="72" t="s">
        <v>209</v>
      </c>
      <c r="D10" s="74"/>
      <c r="E10" s="24"/>
      <c r="F10" s="24"/>
      <c r="G10" s="24"/>
      <c r="H10" s="24"/>
      <c r="I10" s="24"/>
      <c r="J10" s="24"/>
      <c r="K10" s="24"/>
      <c r="L10" s="24"/>
      <c r="M10" s="24"/>
      <c r="N10" s="24"/>
      <c r="O10" s="24"/>
      <c r="P10" s="24"/>
      <c r="Q10" s="24"/>
      <c r="R10" s="24"/>
      <c r="S10" s="24"/>
      <c r="T10" s="24"/>
      <c r="U10" s="24"/>
      <c r="V10" s="24"/>
      <c r="W10" s="24"/>
      <c r="X10" s="24"/>
      <c r="Y10" s="24"/>
      <c r="Z10" s="24"/>
      <c r="AA10" s="24"/>
    </row>
    <row r="11" spans="1:28" ht="17.25">
      <c r="A11" s="63" t="s">
        <v>73</v>
      </c>
      <c r="B11" s="78">
        <v>8</v>
      </c>
      <c r="C11" s="133" t="s">
        <v>210</v>
      </c>
      <c r="D11" s="75"/>
    </row>
    <row r="12" spans="1:28" ht="17.25">
      <c r="A12" s="63" t="s">
        <v>69</v>
      </c>
      <c r="B12" s="79">
        <v>10</v>
      </c>
      <c r="C12" s="92" t="s">
        <v>211</v>
      </c>
      <c r="D12" s="93"/>
    </row>
    <row r="13" spans="1:28" ht="17.25">
      <c r="A13" s="63" t="s">
        <v>67</v>
      </c>
      <c r="B13" s="78">
        <v>10</v>
      </c>
      <c r="C13" s="73" t="s">
        <v>212</v>
      </c>
      <c r="D13" s="75"/>
    </row>
    <row r="14" spans="1:28" ht="17.25">
      <c r="A14" s="63" t="s">
        <v>65</v>
      </c>
      <c r="B14" s="79">
        <v>10</v>
      </c>
      <c r="C14" s="72" t="s">
        <v>213</v>
      </c>
      <c r="D14" s="74"/>
    </row>
    <row r="15" spans="1:28" ht="17.25">
      <c r="A15" s="63" t="s">
        <v>70</v>
      </c>
      <c r="B15" s="78">
        <v>10</v>
      </c>
      <c r="C15" s="73" t="s">
        <v>214</v>
      </c>
      <c r="D15" s="75"/>
    </row>
    <row r="16" spans="1:28" s="25" customFormat="true" ht="17.25">
      <c r="A16" s="63" t="s">
        <v>133</v>
      </c>
      <c r="B16" s="79">
        <v>10</v>
      </c>
      <c r="C16" s="72" t="s">
        <v>215</v>
      </c>
      <c r="D16" s="93"/>
      <c r="E16" s="24"/>
      <c r="F16" s="24"/>
      <c r="G16" s="24"/>
      <c r="H16" s="24"/>
      <c r="I16" s="24"/>
      <c r="J16" s="24"/>
      <c r="K16" s="24"/>
      <c r="L16" s="24"/>
      <c r="M16" s="24"/>
      <c r="N16" s="24"/>
      <c r="O16" s="24"/>
      <c r="P16" s="24"/>
      <c r="Q16" s="24"/>
      <c r="R16" s="24"/>
      <c r="S16" s="24"/>
      <c r="T16" s="24"/>
      <c r="U16" s="24"/>
      <c r="V16" s="24"/>
      <c r="W16" s="24"/>
      <c r="X16" s="24"/>
      <c r="Y16" s="24"/>
      <c r="Z16" s="24"/>
      <c r="AA16" s="24"/>
    </row>
    <row r="17" spans="1:27" ht="17.25">
      <c r="A17" s="63" t="s">
        <v>134</v>
      </c>
      <c r="B17" s="78">
        <v>5</v>
      </c>
      <c r="C17" s="131" t="s">
        <v>216</v>
      </c>
      <c r="D17" s="111"/>
    </row>
    <row r="18" spans="1:27" s="25" customFormat="true" ht="17.25">
      <c r="A18" s="63" t="s">
        <v>139</v>
      </c>
      <c r="B18" s="79">
        <v>10</v>
      </c>
      <c r="C18" s="72" t="s">
        <v>217</v>
      </c>
      <c r="D18" s="74"/>
      <c r="E18" s="24"/>
      <c r="F18" s="24"/>
      <c r="G18" s="24"/>
      <c r="H18" s="24"/>
      <c r="I18" s="24"/>
      <c r="J18" s="24"/>
      <c r="K18" s="24"/>
      <c r="L18" s="24"/>
      <c r="M18" s="24"/>
      <c r="N18" s="24"/>
      <c r="O18" s="24"/>
      <c r="P18" s="24"/>
      <c r="Q18" s="24"/>
      <c r="R18" s="24"/>
      <c r="S18" s="24"/>
      <c r="T18" s="24"/>
      <c r="U18" s="24"/>
      <c r="V18" s="24"/>
      <c r="W18" s="24"/>
      <c r="X18" s="24"/>
      <c r="Y18" s="24"/>
      <c r="Z18" s="24"/>
      <c r="AA18" s="24"/>
    </row>
    <row r="19" spans="1:27" s="25" customFormat="true" ht="17.25">
      <c r="A19" s="63" t="s">
        <v>135</v>
      </c>
      <c r="B19" s="78">
        <v>10</v>
      </c>
      <c r="C19" s="73" t="s">
        <v>218</v>
      </c>
      <c r="D19" s="75"/>
      <c r="E19" s="24"/>
      <c r="F19" s="24"/>
      <c r="G19" s="24"/>
      <c r="H19" s="24"/>
      <c r="I19" s="24"/>
      <c r="J19" s="24"/>
      <c r="K19" s="24"/>
      <c r="L19" s="24"/>
      <c r="M19" s="24"/>
      <c r="N19" s="24"/>
      <c r="O19" s="24"/>
      <c r="P19" s="24"/>
      <c r="Q19" s="24"/>
      <c r="R19" s="24"/>
      <c r="S19" s="24"/>
      <c r="T19" s="24"/>
      <c r="U19" s="24"/>
      <c r="V19" s="24"/>
      <c r="W19" s="24"/>
      <c r="X19" s="24"/>
      <c r="Y19" s="24"/>
      <c r="Z19" s="24"/>
      <c r="AA19" s="24"/>
    </row>
    <row r="20" spans="1:27" ht="17.25">
      <c r="A20" s="63" t="s">
        <v>136</v>
      </c>
      <c r="B20" s="79">
        <v>10</v>
      </c>
      <c r="C20" s="72" t="s">
        <v>219</v>
      </c>
      <c r="D20" s="74"/>
    </row>
    <row r="21" spans="1:27" s="25" customFormat="true" ht="17.25">
      <c r="A21" s="63" t="s">
        <v>137</v>
      </c>
      <c r="B21" s="78">
        <v>10</v>
      </c>
      <c r="C21" s="73" t="s">
        <v>220</v>
      </c>
      <c r="D21" s="75"/>
      <c r="E21" s="24"/>
      <c r="F21" s="24"/>
      <c r="G21" s="24"/>
      <c r="H21" s="24"/>
      <c r="I21" s="24"/>
      <c r="J21" s="24"/>
      <c r="K21" s="24"/>
      <c r="L21" s="24"/>
      <c r="M21" s="24"/>
      <c r="N21" s="24"/>
      <c r="O21" s="24"/>
      <c r="P21" s="24"/>
      <c r="Q21" s="24"/>
      <c r="R21" s="24"/>
      <c r="S21" s="24"/>
      <c r="T21" s="24"/>
      <c r="U21" s="24"/>
      <c r="V21" s="24"/>
      <c r="W21" s="24"/>
      <c r="X21" s="24"/>
      <c r="Y21" s="24"/>
      <c r="Z21" s="24"/>
      <c r="AA21" s="24"/>
    </row>
    <row r="22" spans="1:27" s="25" customFormat="true" ht="17.25">
      <c r="A22" s="63" t="s">
        <v>138</v>
      </c>
      <c r="B22" s="80">
        <v>10</v>
      </c>
      <c r="C22" s="69" t="s">
        <v>195</v>
      </c>
      <c r="D22" s="68"/>
      <c r="E22" s="24"/>
      <c r="F22" s="24"/>
      <c r="G22" s="24"/>
      <c r="H22" s="24"/>
      <c r="I22" s="24"/>
      <c r="J22" s="24"/>
      <c r="K22" s="24"/>
      <c r="L22" s="24"/>
      <c r="M22" s="24"/>
      <c r="N22" s="24"/>
      <c r="O22" s="24"/>
      <c r="P22" s="24"/>
      <c r="Q22" s="24"/>
      <c r="R22" s="24"/>
      <c r="S22" s="24"/>
      <c r="T22" s="24"/>
      <c r="U22" s="24"/>
      <c r="V22" s="24"/>
      <c r="W22" s="24"/>
      <c r="X22" s="24"/>
      <c r="Y22" s="24"/>
      <c r="Z22" s="24"/>
      <c r="AA22" s="24"/>
    </row>
  </sheetData>
  <phoneticPr fontId="14" type="noConversion"/>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95F920C0-AED7-425E-818E-31788AE47CF5}">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0D4997A-F5D7-47B8-8021-08C076C5E1C7}">
  <ds:schemaRefs>
    <ds:schemaRef ds:uri="http://schemas.microsoft.com/sharepoint/v3/contenttype/forms"/>
  </ds:schemaRefs>
</ds:datastoreItem>
</file>

<file path=customXml/itemProps2.xml><?xml version="1.0" encoding="utf-8"?>
<ds:datastoreItem xmlns:ds="http://schemas.openxmlformats.org/officeDocument/2006/customXml" ds:itemID="{98E7F3D6-785F-49FE-8501-BF769B99A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1BB4A4-C009-44B7-9F89-7FA7A7BF74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HealthReport</vt:lpstr>
      <vt:lpstr>OS</vt:lpstr>
      <vt:lpstr>DB</vt:lpstr>
      <vt:lpstr>INST</vt:lpstr>
      <vt:lpstr>ColumnTitle1</vt:lpstr>
      <vt:lpstr>HealthReport!Print_Titles</vt:lpstr>
      <vt:lpstr>RowTitleRegion1..C7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2022-11-10T06:32:34Z</dcterms:created>
  <dcterms:modified xsi:type="dcterms:W3CDTF">2025-09-10T03:09:46Z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