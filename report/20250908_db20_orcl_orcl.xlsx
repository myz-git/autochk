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Types>
</file>

<file path=_rels/.rels><?xml version="1.0" encoding="UTF-8"?>
<Relationships xmlns="http://schemas.openxmlformats.org/package/2006/relationships"><Relationship Id="rId3" Target="docProps/core.xml" Type="http://schemas.openxmlformats.org/package/2006/relationships/metadata/core-properties"></Relationship><Relationship Id="rId2" Target="docMetadata/LabelInfo.xml" Type="http://schemas.microsoft.com/office/2020/02/relationships/classificationlabels"></Relationship><Relationship Id="rId1" Target="xl/workbook.xml" Type="http://schemas.openxmlformats.org/officeDocument/2006/relationships/officeDocument"></Relationship><Relationship Id="rId5" Target="docProps/custom.xml" Type="http://schemas.openxmlformats.org/officeDocument/2006/relationships/custom-properties"></Relationship><Relationship Id="rId4"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true" codeName="ThisWorkbook"/>
  <bookViews>
    <workbookView xWindow="-120" yWindow="-120" windowWidth="29040" windowHeight="15720"/>
  </bookViews>
  <sheets>
    <sheet name="HealthReport" sheetId="1" r:id="rId1"/>
    <sheet name="OS" sheetId="5" r:id="rId2"/>
    <sheet name="DB" sheetId="6" r:id="rId3"/>
    <sheet name="INST" sheetId="7" r:id="rId4"/>
  </sheets>
  <definedNames>
    <definedName name="ChecklistTotal">SUM(#REF!)</definedName>
    <definedName name="ColumnTitle1">HealthReport!$B$29:$L$41</definedName>
    <definedName name="ColumnTitle2">#REF!</definedName>
    <definedName name="ColumnTitle3">#REF!</definedName>
    <definedName localSheetId="0" name="_xlnm.Print_Titles">HealthReport!$28:$28</definedName>
    <definedName name="RowTitleRegion1..C7">HealthReport!$C$4</definedName>
    <definedName name="SchoolYear">YEAR(TODAY())&amp;" - "&amp;YEAR(TODAY())+1</definedName>
    <definedName name="SumItemsBought">COUNTIF(HealthReport!$L$29:$L$41,"&gt;0")</definedName>
    <definedName name="SumItemsToBuy">COUNTIF(HealthReport!$H$29:$H$41,"&gt;0")</definedName>
  </definedNam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4" i="1" l="true"/>
  <c r="H13" i="1"/>
  <c r="L29" i="1" l="true"/>
  <c r="L30" i="1"/>
</calcChain>
</file>

<file path=xl/comments1.xml><?xml version="1.0" encoding="utf-8"?>
<comments xmlns="http://schemas.openxmlformats.org/spreadsheetml/2006/main">
  <authors>
    <author>健康检查系统</author>
  </authors>
  <commentList>
    <comment ref="C11" authorId="0">
      <text>
        <t>普通问题:
问题: db20主机,sem参数总信号量当前32000小于阈值[250 256000 100 1024],
建议: 调整sem参数
问题: db20主机,swappiness参数当前值30大于阈值1,
建议: 设置swappiness=1
问题: db20主机,min_free_kbytes参数当前值9734小于阈值67584,
建议: 设置min_free_kbytes=67584
轻微问题:
问题: db20主机,ipfrag_high_thresh参数当前值4194304小于阈值16777216,
建议: 设置ipfrag_high_thresh=16777216
问题: db20主机,ipfrag_low_thresh参数当前值3145728小于阈值15728640,
建议: 设置ipfrag_low_thresh=15728640</t>
      </text>
    </comment>
    <comment ref="C14" authorId="0">
      <text>
        <t>严重问题:
问题: db20主机,文件系统使用率当前值100%超过严重阈值90%,
建议: 需尽快清理或扩容
普通问题:
问题: db20主机,文件系统使用率当前值100%超过阈值80%,
建议: 及时清理或扩容</t>
      </text>
    </comment>
    <comment ref="C17" authorId="0">
      <text>
        <t>普通问题:
问题: db20主机,可用内存当前3156 MB小于阈值4096 MB,
建议: 增加内存或优化内存使用</t>
      </text>
    </comment>
    <comment ref="C20" authorId="0">
      <text>
        <t>普通问题:
问题: db20主机,未配置大页内存,
建议: 根据数据库SGA大小配置适当的大页内存</t>
      </text>
    </comment>
    <comment ref="C24" authorId="0">
      <text>
        <t>普通问题:
问题: db20主机,SELinux安全模块当前已启用,
建议: 禁用SELinux以提升数据库整体稳定性</t>
      </text>
    </comment>
    <comment ref="C26" authorId="0">
      <text>
        <t>普通问题:
问题: db20主机,NSSwitch配置中发现NIS配置,
建议: 移除NIS配置以提升系统安全性</t>
      </text>
    </comment>
    <comment ref="C27" authorId="0">
      <text>
        <t>普通问题:
问题: db20主机,LO网卡MTU值当前为65536,超过16384,
建议: 调整为16384或更小值以提升网络性能</t>
      </text>
    </comment>
    <comment ref="C29" authorId="0">
      <text>
        <t>普通问题:
问题: db20主机,NOZEROCONF未配置或未明确配置,
建议: 设置NOZEROCONF=yes以提升网络安全性</t>
      </text>
    </comment>
    <comment ref="C30" authorId="0">
      <text>
        <t>普通问题:
问题: db20主机,检测到安装了存在安全风险的RPM包
freetype-2.8-12.el7.x86_64
open-vm-tools-10.2.5-3.el7.x86_64
freetype-devel-2.8-12.el7.x86_64,
建议: 移除存在安全隐患的RPM包以提升系统安全性</t>
      </text>
    </comment>
  </commentList>
</comments>
</file>

<file path=xl/comments2.xml><?xml version="1.0" encoding="utf-8"?>
<comments xmlns="http://schemas.openxmlformats.org/spreadsheetml/2006/main">
  <authors>
    <author>健康检查系统</author>
  </authors>
  <commentList>
    <comment ref="C30" authorId="0">
      <text>
        <t>轻微问题:
问题: orcl数据库,存在未设置密码复杂性校验的PROFILE,
建议: 启用密码复杂性验证以增强安全性</t>
      </text>
    </comment>
    <comment ref="C39" authorId="0">
      <text>
        <t>严重问题:
问题: orcl数据库,未发现RMAN备份记录,
建议: 确认是否有其他有效备份,尽快部署RMAN备份策略</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<sst xmlns="http://schemas.openxmlformats.org/spreadsheetml/2006/main" count="234" uniqueCount="234">
  <si>
    <t>Server Info</t>
    <phoneticPr fontId="14" type="noConversion"/>
  </si>
  <si>
    <t>DataBase Info</t>
    <phoneticPr fontId="14" type="noConversion"/>
  </si>
  <si>
    <t>主机名</t>
  </si>
  <si>
    <t>内存</t>
  </si>
  <si>
    <t>数据库版本</t>
  </si>
  <si>
    <t>数据库架构</t>
  </si>
  <si>
    <t>SINGLE INSTANCE</t>
  </si>
  <si>
    <t>主备库角色</t>
  </si>
  <si>
    <t>ARCHIVELOG</t>
  </si>
  <si>
    <t>1513.200  GB</t>
  </si>
  <si>
    <t>数据库字符集</t>
  </si>
  <si>
    <t>AMERICAN_AMERICA.US7ASCII</t>
  </si>
  <si>
    <t>数据库名</t>
    <phoneticPr fontId="14" type="noConversion"/>
  </si>
  <si>
    <t>PRIMARY,MAXIMUM PERFORMANCE</t>
    <phoneticPr fontId="14" type="noConversion"/>
  </si>
  <si>
    <t>Issue summary</t>
    <phoneticPr fontId="14" type="noConversion"/>
  </si>
  <si>
    <t>其他项检查</t>
    <phoneticPr fontId="14" type="noConversion"/>
  </si>
  <si>
    <t>重要</t>
    <phoneticPr fontId="14" type="noConversion"/>
  </si>
  <si>
    <t>轻微</t>
    <phoneticPr fontId="14" type="noConversion"/>
  </si>
  <si>
    <t>主机系统分析</t>
    <phoneticPr fontId="14" type="noConversion"/>
  </si>
  <si>
    <t>Issue list</t>
    <phoneticPr fontId="14" type="noConversion"/>
  </si>
  <si>
    <t>No.</t>
    <phoneticPr fontId="14" type="noConversion"/>
  </si>
  <si>
    <t>问题描述及建议</t>
    <phoneticPr fontId="14" type="noConversion"/>
  </si>
  <si>
    <t>问题类别</t>
    <phoneticPr fontId="14" type="noConversion"/>
  </si>
  <si>
    <t>主机系统分析</t>
  </si>
  <si>
    <t>检查项</t>
    <phoneticPr fontId="14" type="noConversion"/>
  </si>
  <si>
    <t>结果</t>
    <phoneticPr fontId="14" type="noConversion"/>
  </si>
  <si>
    <t>文件系统使用率</t>
    <phoneticPr fontId="14" type="noConversion"/>
  </si>
  <si>
    <t>内核参数</t>
    <phoneticPr fontId="14" type="noConversion"/>
  </si>
  <si>
    <t>表空间使用率</t>
    <phoneticPr fontId="14" type="noConversion"/>
  </si>
  <si>
    <t>影响</t>
    <phoneticPr fontId="14" type="noConversion"/>
  </si>
  <si>
    <t>CPU负载检查</t>
    <phoneticPr fontId="14" type="noConversion"/>
  </si>
  <si>
    <t>普通</t>
    <phoneticPr fontId="14" type="noConversion"/>
  </si>
  <si>
    <t xml:space="preserve">       Health  Report</t>
    <phoneticPr fontId="14" type="noConversion"/>
  </si>
  <si>
    <t>主机名</t>
    <phoneticPr fontId="14" type="noConversion"/>
  </si>
  <si>
    <t>内存使用</t>
    <phoneticPr fontId="14" type="noConversion"/>
  </si>
  <si>
    <t>IP地址</t>
    <phoneticPr fontId="14" type="noConversion"/>
  </si>
  <si>
    <t>系统日志</t>
    <phoneticPr fontId="14" type="noConversion"/>
  </si>
  <si>
    <t>数据库架构</t>
    <phoneticPr fontId="14" type="noConversion"/>
  </si>
  <si>
    <t>系统版本</t>
    <phoneticPr fontId="14" type="noConversion"/>
  </si>
  <si>
    <t>内存</t>
    <phoneticPr fontId="14" type="noConversion"/>
  </si>
  <si>
    <t>交换分区</t>
    <phoneticPr fontId="14" type="noConversion"/>
  </si>
  <si>
    <t>ULIMIT限制</t>
    <phoneticPr fontId="14" type="noConversion"/>
  </si>
  <si>
    <t>索引资源使用率</t>
    <phoneticPr fontId="14" type="noConversion"/>
  </si>
  <si>
    <t>透明大页</t>
    <phoneticPr fontId="14" type="noConversion"/>
  </si>
  <si>
    <t>磁盘IO负载</t>
    <phoneticPr fontId="14" type="noConversion"/>
  </si>
  <si>
    <t>系统大页</t>
    <phoneticPr fontId="14" type="noConversion"/>
  </si>
  <si>
    <t>NUMA使用</t>
    <phoneticPr fontId="14" type="noConversion"/>
  </si>
  <si>
    <t>时钟同步</t>
    <phoneticPr fontId="14" type="noConversion"/>
  </si>
  <si>
    <t>时区</t>
    <phoneticPr fontId="14" type="noConversion"/>
  </si>
  <si>
    <t>数据库名称</t>
    <phoneticPr fontId="14" type="noConversion"/>
  </si>
  <si>
    <t>并行度&gt;1的表</t>
    <phoneticPr fontId="14" type="noConversion"/>
  </si>
  <si>
    <t>并行度&gt;1的索引</t>
    <phoneticPr fontId="14" type="noConversion"/>
  </si>
  <si>
    <t>数据库版本</t>
    <phoneticPr fontId="14" type="noConversion"/>
  </si>
  <si>
    <t>是否开启归档</t>
    <phoneticPr fontId="14" type="noConversion"/>
  </si>
  <si>
    <t>是否开启闪回</t>
    <phoneticPr fontId="14" type="noConversion"/>
  </si>
  <si>
    <t>数据文件数量</t>
    <phoneticPr fontId="14" type="noConversion"/>
  </si>
  <si>
    <t>表数量</t>
    <phoneticPr fontId="14" type="noConversion"/>
  </si>
  <si>
    <t>主备库角色</t>
    <phoneticPr fontId="14" type="noConversion"/>
  </si>
  <si>
    <t>用户大小</t>
    <phoneticPr fontId="14" type="noConversion"/>
  </si>
  <si>
    <t>用户状态</t>
    <phoneticPr fontId="14" type="noConversion"/>
  </si>
  <si>
    <t>用户表数量</t>
    <phoneticPr fontId="14" type="noConversion"/>
  </si>
  <si>
    <t>数据库状态</t>
    <phoneticPr fontId="14" type="noConversion"/>
  </si>
  <si>
    <t>数据库组件</t>
    <phoneticPr fontId="14" type="noConversion"/>
  </si>
  <si>
    <t>功能特性</t>
    <phoneticPr fontId="14" type="noConversion"/>
  </si>
  <si>
    <t>字符集</t>
    <phoneticPr fontId="14" type="noConversion"/>
  </si>
  <si>
    <t>数据库参数</t>
    <phoneticPr fontId="14" type="noConversion"/>
  </si>
  <si>
    <t>实例名</t>
    <phoneticPr fontId="14" type="noConversion"/>
  </si>
  <si>
    <t>监听检查</t>
    <phoneticPr fontId="14" type="noConversion"/>
  </si>
  <si>
    <t>数据库负载</t>
    <phoneticPr fontId="14" type="noConversion"/>
  </si>
  <si>
    <t>数据库补丁</t>
    <phoneticPr fontId="14" type="noConversion"/>
  </si>
  <si>
    <t>参数文件</t>
    <phoneticPr fontId="14" type="noConversion"/>
  </si>
  <si>
    <t>数据库运行效率</t>
    <phoneticPr fontId="14" type="noConversion"/>
  </si>
  <si>
    <t>CPU使用</t>
    <phoneticPr fontId="14" type="noConversion"/>
  </si>
  <si>
    <t>PSU&amp;RU</t>
    <phoneticPr fontId="14" type="noConversion"/>
  </si>
  <si>
    <t>Top等待</t>
    <phoneticPr fontId="14" type="noConversion"/>
  </si>
  <si>
    <t>Top SQL(耗时)</t>
    <phoneticPr fontId="14" type="noConversion"/>
  </si>
  <si>
    <t>CPU Info</t>
    <phoneticPr fontId="14" type="noConversion"/>
  </si>
  <si>
    <t>CPU 主频</t>
    <phoneticPr fontId="14" type="noConversion"/>
  </si>
  <si>
    <t>Selinux状态</t>
    <phoneticPr fontId="14" type="noConversion"/>
  </si>
  <si>
    <t>防火墙状态</t>
    <phoneticPr fontId="14" type="noConversion"/>
  </si>
  <si>
    <t>myzdb100</t>
  </si>
  <si>
    <t>10.0.2.15
1.1.1.100</t>
  </si>
  <si>
    <t>Linux x86_64</t>
  </si>
  <si>
    <t>Linux.Red Hat Enterprise Linux release 8.8 (Ootpa)</t>
  </si>
  <si>
    <t>12th Gen Intel(R) Core(TM) i5-12400F 4</t>
    <phoneticPr fontId="14" type="noConversion"/>
  </si>
  <si>
    <t>7 GB</t>
  </si>
  <si>
    <t>主机平台</t>
    <phoneticPr fontId="14" type="noConversion"/>
  </si>
  <si>
    <t>操作系统</t>
    <phoneticPr fontId="14" type="noConversion"/>
  </si>
  <si>
    <t>Physical Server</t>
    <phoneticPr fontId="14" type="noConversion"/>
  </si>
  <si>
    <t>Oracle Database 19c Enterprise Edition Version 19.11.0.0.0</t>
    <phoneticPr fontId="14" type="noConversion"/>
  </si>
  <si>
    <t>数据文件总大小</t>
    <phoneticPr fontId="14" type="noConversion"/>
  </si>
  <si>
    <t>集群资源状态</t>
    <phoneticPr fontId="14" type="noConversion"/>
  </si>
  <si>
    <t>OCR状态</t>
    <phoneticPr fontId="14" type="noConversion"/>
  </si>
  <si>
    <t>ASM磁盘组使用率</t>
    <phoneticPr fontId="14" type="noConversion"/>
  </si>
  <si>
    <t>数据库集群</t>
    <phoneticPr fontId="14" type="noConversion"/>
  </si>
  <si>
    <t>DataGuard</t>
    <phoneticPr fontId="14" type="noConversion"/>
  </si>
  <si>
    <t>数据库备份</t>
    <phoneticPr fontId="14" type="noConversion"/>
  </si>
  <si>
    <t>数据库安全</t>
    <phoneticPr fontId="14" type="noConversion"/>
  </si>
  <si>
    <t>主机系统</t>
    <phoneticPr fontId="14" type="noConversion"/>
  </si>
  <si>
    <t>数据库分析</t>
    <phoneticPr fontId="14" type="noConversion"/>
  </si>
  <si>
    <t>软件使用</t>
    <phoneticPr fontId="14" type="noConversion"/>
  </si>
  <si>
    <t>实例分析</t>
    <phoneticPr fontId="14" type="noConversion"/>
  </si>
  <si>
    <t>数据库性能</t>
    <phoneticPr fontId="14" type="noConversion"/>
  </si>
  <si>
    <t>数据库大小
(已使用GB)</t>
    <phoneticPr fontId="14" type="noConversion"/>
  </si>
  <si>
    <t>是否归档</t>
    <phoneticPr fontId="14" type="noConversion"/>
  </si>
  <si>
    <t xml:space="preserve"> Result</t>
    <phoneticPr fontId="14" type="noConversion"/>
  </si>
  <si>
    <t>Check Item</t>
    <phoneticPr fontId="14" type="noConversion"/>
  </si>
  <si>
    <t>RPM安全漏洞包</t>
    <phoneticPr fontId="14" type="noConversion"/>
  </si>
  <si>
    <t>ZEROCONF路由</t>
    <phoneticPr fontId="14" type="noConversion"/>
  </si>
  <si>
    <t>CPU性能模式</t>
    <phoneticPr fontId="14" type="noConversion"/>
  </si>
  <si>
    <t>lo网卡MTU</t>
    <phoneticPr fontId="14" type="noConversion"/>
  </si>
  <si>
    <t>NSSwitch配置</t>
    <phoneticPr fontId="14" type="noConversion"/>
  </si>
  <si>
    <t>数据文件状态</t>
    <phoneticPr fontId="14" type="noConversion"/>
  </si>
  <si>
    <t>控制文件冗余</t>
    <phoneticPr fontId="14" type="noConversion"/>
  </si>
  <si>
    <t>SEQUENCE设置</t>
    <phoneticPr fontId="14" type="noConversion"/>
  </si>
  <si>
    <t>SEQUENCE使用</t>
    <phoneticPr fontId="14" type="noConversion"/>
  </si>
  <si>
    <t>无效对象</t>
    <phoneticPr fontId="14" type="noConversion"/>
  </si>
  <si>
    <t>索引失效</t>
    <phoneticPr fontId="14" type="noConversion"/>
  </si>
  <si>
    <t>用户临期</t>
    <phoneticPr fontId="14" type="noConversion"/>
  </si>
  <si>
    <t>DBA权限用户</t>
    <phoneticPr fontId="14" type="noConversion"/>
  </si>
  <si>
    <t>SYSDBA权限用户</t>
    <phoneticPr fontId="14" type="noConversion"/>
  </si>
  <si>
    <t>数据库审计空间</t>
    <phoneticPr fontId="14" type="noConversion"/>
  </si>
  <si>
    <t>数据库审计对象</t>
    <phoneticPr fontId="14" type="noConversion"/>
  </si>
  <si>
    <t>业务使用系统表空间</t>
    <phoneticPr fontId="14" type="noConversion"/>
  </si>
  <si>
    <t>错误口令登录锁定</t>
    <phoneticPr fontId="14" type="noConversion"/>
  </si>
  <si>
    <t>病毒勒索攻击隐患</t>
    <phoneticPr fontId="14" type="noConversion"/>
  </si>
  <si>
    <t>SCNHealthCheck</t>
    <phoneticPr fontId="14" type="noConversion"/>
  </si>
  <si>
    <t>RMAN备份</t>
    <phoneticPr fontId="14" type="noConversion"/>
  </si>
  <si>
    <t>OCR备份</t>
    <phoneticPr fontId="14" type="noConversion"/>
  </si>
  <si>
    <t>ASM磁盘偏移</t>
    <phoneticPr fontId="14" type="noConversion"/>
  </si>
  <si>
    <t>PROFILE密码函数</t>
    <phoneticPr fontId="14" type="noConversion"/>
  </si>
  <si>
    <t>临时表空间文件</t>
    <phoneticPr fontId="14" type="noConversion"/>
  </si>
  <si>
    <t>数据库当前使用</t>
    <phoneticPr fontId="14" type="noConversion"/>
  </si>
  <si>
    <t>REDO文件</t>
    <phoneticPr fontId="14" type="noConversion"/>
  </si>
  <si>
    <t>归档切换</t>
    <phoneticPr fontId="14" type="noConversion"/>
  </si>
  <si>
    <t>闪回区使用</t>
    <phoneticPr fontId="14" type="noConversion"/>
  </si>
  <si>
    <t>数据库日志</t>
    <phoneticPr fontId="14" type="noConversion"/>
  </si>
  <si>
    <t>DG同步延迟</t>
    <phoneticPr fontId="14" type="noConversion"/>
  </si>
  <si>
    <t>DG同步报错</t>
    <phoneticPr fontId="14" type="noConversion"/>
  </si>
  <si>
    <t>闪回区空间</t>
    <phoneticPr fontId="14" type="noConversion"/>
  </si>
  <si>
    <t>游标&gt;300M</t>
    <phoneticPr fontId="14" type="noConversion"/>
  </si>
  <si>
    <t>最大资源使用</t>
    <phoneticPr fontId="14" type="noConversion"/>
  </si>
  <si>
    <t>报告日期:2006-01-01</t>
    <phoneticPr fontId="14" type="noConversion"/>
  </si>
  <si>
    <t xml:space="preserve">客户:   </t>
    <phoneticPr fontId="14" type="noConversion"/>
  </si>
  <si>
    <t>健康检查报告</t>
    <phoneticPr fontId="14" type="noConversion"/>
  </si>
  <si>
    <t>共享池使用率</t>
    <phoneticPr fontId="14" type="noConversion"/>
  </si>
  <si>
    <t>SGA内存使用</t>
    <phoneticPr fontId="14" type="noConversion"/>
  </si>
  <si>
    <t>APC2DB</t>
    <phoneticPr fontId="14" type="noConversion"/>
  </si>
  <si>
    <t xml:space="preserve">客户:     </t>
  </si>
  <si>
    <t>报告日期: 2025-09-11</t>
  </si>
  <si>
    <t>db20</t>
  </si>
  <si>
    <t>192.168.26.20</t>
  </si>
  <si>
    <t>Linux.Red Hat Enterprise Linux Server release 7.6 (Maipo)</t>
  </si>
  <si>
    <t>12th Gen Intel(R) Core(TM) i5-1235U 2</t>
  </si>
  <si>
    <t>5 GB</t>
  </si>
  <si>
    <t>Virtual Machine (vmware)</t>
  </si>
  <si>
    <t>orcl</t>
  </si>
  <si>
    <t>Oracle Database 19c Enterprise Edition Version 19.3.0.0.0</t>
  </si>
  <si>
    <t>AMERICAN_AMERICA.ZHS16GBK</t>
  </si>
  <si>
    <t>2GB</t>
  </si>
  <si>
    <t>NODE1</t>
  </si>
  <si>
    <t>2496.005</t>
  </si>
  <si>
    <t>4 GB</t>
  </si>
  <si>
    <t>fs.file-max                    = 6815744
fs.aio-max-nr                  = 1048576
kernel.shmmni                  = 4096
kernel.shmmax                  = 3865470566
kernel.shmall                  = 1572864
kernel.sem                     = 250	32000	100	128
kernel.panic_on_oops           = 1
kernel.randomize_va_space      = 0
kernel.numa_balancing          = 0
net.ipv4.conf.all.rp_filter    = 1
net.ipv4.conf.default.rp_filter = 1
net.ipv4.ip_local_port_range   = 9000	65500
net.ipv4.ipfrag_high_thresh    = 4194304
net.ipv4.ipfrag_low_thresh     = 3145728
net.ipv4.tcp_keepalive_time    = 7200
net.core.rmem_default          = 262144
net.core.rmem_max              = 4194304
net.core.wmem_default          = 262144
net.core.wmem_max              = 1048576
vm.dirty_ratio                 = 30
vm.dirty_background_ratio      = 10
vm.dirty_expire_centisecs      = 3000
vm.dirty_writeback_centisecs   = 500
vm.swappiness                  = 30
vm.min_free_kbytes             = 9734</t>
  </si>
  <si>
    <t>core file size          (blocks, -c) 0
data seg size           (kbytes, -d) unlimited
scheduling priority             (-e) 0
file size               (blocks, -f) unlimited
pending signals                 (-i) 23053
max locked memory       (kbytes, -l) unlimited
max memory size         (kbytes, -m) unlimited
open files                      (-n) 65536
pipe size            (512 bytes, -p) 8
POSIX message queues     (bytes, -q) 819200
real-time priority              (-r) 0
stack size              (kbytes, -s) 10240
cpu time               (seconds, -t) unlimited
max user processes              (-u) 16384
virtual memory          (kbytes, -v) unlimited
file locks                      (-x) unlimited</t>
  </si>
  <si>
    <t>[一 9月  8 21:33:30 2025] Detected CPU family 6 model 154 stepping 4
[一 9月  8 21:33:30 2025] Warning: Intel Processor - this hardware has not undergone testing by Red Hat and might not be certified. Please consult https://hardware.redhat.com for certified hardware.
[一 9月  8 21:33:32 2025] sd 0:0:0:0: [sda] Assuming drive cache: write through
[一 9月  8 21:33:33 2025] piix4_smbus 0000:00:07.3: SMBus Host Controller not enabled!
[一 9月  8 21:37:17 2025] ip_local_port_range: prefer different parity for start/end values.</t>
  </si>
  <si>
    <t>文件系统              类型      容量  已用  可用 已用% 挂载点
/dev/mapper/rhel-root xfs        10G  1.5G  8.6G   15% /
devtmpfs              devtmpfs  2.9G     0  2.9G    0% /dev
tmpfs                 tmpfs     2.9G     0  2.9G    0% /dev/shm
tmpfs                 tmpfs     2.9G   12M  2.9G    1% /run
tmpfs                 tmpfs     2.9G     0  2.9G    0% /sys/fs/cgroup
/dev/sda1             xfs      1014M  146M  869M   15% /boot
/dev/mapper/rhel-home xfs       4.0G   33M  4.0G    1% /home
/dev/mapper/rhel-u01  xfs        30G  9.5G   21G   32% /u01
tmpfs                 tmpfs     579M     0  579M    0% /run/user/0
/dev/sr0              iso9660   4.2G  4.2G     0  100% /mnt/cdrom</t>
  </si>
  <si>
    <t>文件系统              Inode 已用(I) 可用(I) 已用(I)% 挂载点
/dev/mapper/rhel-root  5.0M     43K    5.0M       1% /
devtmpfs               721K     404    721K       1% /dev
tmpfs                  724K       2    724K       1% /dev/shm
tmpfs                  724K    1.4K    723K       1% /run
tmpfs                  724K      16    724K       1% /sys/fs/cgroup
/dev/sda1              512K     325    512K       1% /boot
/dev/mapper/rhel-home  2.0M      18    2.0M       1% /home
/dev/mapper/rhel-u01    15M     42K     15M       1% /u01
tmpfs                  724K       1    724K       1% /run/user/0
/dev/sr0                  0       0       0        - /mnt/cdrom</t>
  </si>
  <si>
    <t>procs -----------memory---------- ---swap-- -----io---- -system-- ------cpu-----
 r  b   swpd   free   buff  cache   si   so    bi    bo   in   cs us sy id wa st
 0  0     39   1734      0   3873    0    0  1140  1530  550  758  3  2 95  0  0
 0  0     39   1734      0   3873    0    0     0     0 1222 1905  0  0 100  0  0
 0  0     39   1734      0   3873    0    0     0     0 1207 1890  0  1 99  0  0
 0  0     39   1734      0   3873    0    0     0    32 1276 1976  0  0 100  0  0
 0  0     39   1734      0   3873    0    0     0     0 1270 1941  0  0 100  0  0</t>
  </si>
  <si>
    <t>total        used        free      shared  buff/cache   available
Mem:           5787         438        1654        2036        3694        3156
Swap:          5115          37        5078
available=3156 MB</t>
  </si>
  <si>
    <t>sar -d 3 2
Linux 3.10.0-957.el7.x86_64 (db20) 	2025年09月08日 	_x86_64_	(2 CPU)
22时45分59秒       DEV       tps  rd_sec/s  wr_sec/s  avgrq-sz  avgqu-sz     await     svctm     %util
22时46分02秒    dev8-0      1.00      0.00     26.67     26.67      0.00      0.00      0.00      0.00
22时46分02秒   dev11-0      0.00      0.00      0.00      0.00      0.00      0.00      0.00      0.00
22时46分02秒  dev253-0      0.33      0.00      5.33     16.00      0.00      0.00      0.00      0.00
22时46分02秒  dev253-1      0.00      0.00      0.00      0.00      0.00      0.00      0.00      0.00
22时46分02秒  dev253-2      0.67      0.00     21.33     32.00      0.00      0.00      0.00      0.00
22时46分02秒  dev253-3      0.00      0.00      0.00      0.00      0.00      0.00      0.00      0.00
22时46分02秒       DEV       tps  rd_sec/s  wr_sec/s  avgrq-sz  avgqu-sz     await     svctm     %util
22时46分05秒    dev8-0      0.67      0.00     21.33     32.00      0.00      0.00      0.00      0.00
22时46分05秒   dev11-0      0.00      0.00      0.00      0.00      0.00      0.00      0.00      0.00
22时46分05秒  dev253-0      0.00      0.00      0.00      0.00      0.00      0.00      0.00      0.00
22时46分05秒  dev253-1      0.00      0.00      0.00      0.00      0.00      0.00      0.00      0.00
22时46分05秒  dev253-2      0.67      0.00     21.33     32.00      0.00      0.00      0.00      0.00
22时46分05秒  dev253-3      0.00      0.00      0.00      0.00      0.00      0.00      0.00      0.00
平均时间:       DEV       tps  rd_sec/s  wr_sec/s  avgrq-sz  avgqu-sz     await     svctm     %util
平均时间:    dev8-0      0.83      0.00     24.00     28.80      0.00      0.00      0.00      0.00
平均时间:   dev11-0      0.00      0.00      0.00      0.00      0.00      0.00      0.00      0.00
平均时间:  dev253-0      0.17      0.00      2.67     16.00      0.00      0.00      0.00      0.00
平均时间:  dev253-1      0.00      0.00      0.00      0.00      0.00      0.00      0.00      0.00
平均时间:  dev253-2      0.67      0.00     21.33     32.00      0.00      0.00      0.00      0.00
平均时间:  dev253-3      0.00      0.00      0.00      0.00      0.00      0.00      0.00      0.00</t>
  </si>
  <si>
    <t>AnonHugePages:         0 kB
always madvise [never]</t>
  </si>
  <si>
    <t>HugePages_Total:       0
HugePages_Free:        0
HugePages_Rsvd:        0
HugePages_Surp:        0
Hugepagesize:       2048 kB</t>
  </si>
  <si>
    <t>NUMA turned off</t>
  </si>
  <si>
    <t>ntpd|chronyd is running
chrony     9507      1  0 21:33 ?        00:00:00 /usr/sbin/chronyd</t>
  </si>
  <si>
    <t>2025-09-08 22:46:05 CST +0800</t>
  </si>
  <si>
    <t>SELinux status:                 enabled
SELinuxfs mount:                /sys/fs/selinux
SELinux root directory:         /etc/selinux
Loaded policy name:             targeted
Current mode:                   enforcing
Mode from config file:          disabled
Policy MLS status:              enabled
Policy deny_unknown status:     allowed
Max kernel policy version:      31
/etc/selinux/config
SELINUX=disabled
SELINUXTYPE=targeted</t>
  </si>
  <si>
    <t>firewalld/iptables is not running</t>
  </si>
  <si>
    <t>No NIS configuration found in /etc/nsswitch.conf</t>
  </si>
  <si>
    <t>mtu 65536</t>
  </si>
  <si>
    <t>Virtual machine detected - CPU performance mode check skipped</t>
  </si>
  <si>
    <t>NOZEROCONF is not configured</t>
  </si>
  <si>
    <t>freetype-2.8-12.el7.x86_64
open-vm-tools-10.2.5-3.el7.x86_64
freetype-devel-2.8-12.el7.x86_64</t>
  </si>
  <si>
    <t>DB_UNIQUE_NAME   OPEN_MODE  LOG_MODE     PROTECTION_LEVEL     DATABASE_ROLE    SWITCHOVER_STATUS
---------------- ---------- ------------ -------------------- ---------------- ------------------
orcl             READ WRITE ARCHIVELOG   MAXIMUM PERFORMANCE  PRIMARY          NOT ALLOWED</t>
  </si>
  <si>
    <t>NO</t>
  </si>
  <si>
    <t>2.35GB</t>
  </si>
  <si>
    <t>FILE_CNT DB_FILES_LIMIT
---------- ----------------
         5 200</t>
  </si>
  <si>
    <t>FILE_NAME                                                              STATUS        CUR_GB AUT    MAX_GB
---------------------------------------------------------------------- ------------ ------- --- ---------
/u01/app/oracle/oradata/ORCL/sysaux01.dbf                              AVAILABLE        .52 YES     32.00
/u01/app/oracle/oradata/ORCL/system01.dbf                              AVAILABLE        .88 YES     32.00
/u01/app/oracle/oradata/ORCL/undotbs01.dbf                             AVAILABLE        .33 YES     32.00
/u01/app/oracle/oradata/ORCL/users01.dbf                               AVAILABLE        .00 YES     32.00</t>
  </si>
  <si>
    <t>TMP_CNT          GB
-------- -----------
       1         .03</t>
  </si>
  <si>
    <t>2,217</t>
  </si>
  <si>
    <t>TABLESPACE_NAME          MAXEXTEND(GB) ALLOCATED(GB)  USED(GB)  Free(GB) USED_RATE(%)
------------------------ ------------- ------------- --------- --------- ------------
SYSTEM                           32.00           .88       .87       .01         2.72
USERS                            32.00           .00       .00       .00          .01
UNDOTBS1                         32.00           .33       .33       .00         1.03
SYSAUX                           32.00           .52       .49       .03         1.53</t>
  </si>
  <si>
    <t>/u01/app/oracle/oradata/ORCL/control01.ctl
/u01/app/oracle/oradata/ORCL/control02.ctl</t>
  </si>
  <si>
    <t>无记录</t>
  </si>
  <si>
    <t>OPTION                                        VALUE
--------------------------------------------- --------
ASM Proxy Instance                            FALSE
Active Data Guard                             TRUE
Adaptive Execution Plans                      TRUE
Advanced Analytics                            TRUE
Advanced Compression                          TRUE
Advanced Index Compression                    TRUE
Advanced replication                          TRUE
Application Role                              TRUE
Automatic Data Optimization                   TRUE
Automatic Storage Management                  FALSE
Backup Encryption                             TRUE
Basic Compression                             TRUE
Bit-mapped indexes                            TRUE
Block Change Tracking                         TRUE
Block Media Recovery                          TRUE
Cache Fusion Lock Accelerator                 TRUE
Centrally Managed User                        TRUE
Change Data Capture                           TRUE
Coalesce Index                                TRUE
Connection multiplexing                       TRUE
Connection pooling                            TRUE
Cross Transportable Backups                   TRUE
DICOM                                         TRUE
Data Mining                                   TRUE
Data Redaction                                TRUE
Database queuing                              TRUE
Database resource manager                     TRUE
Deferred Segment Creation                     TRUE
Duplexed backups                              TRUE
Enterprise User Security                      TRUE
Exadata Discovery                             TRUE
Export transportable tablespaces              TRUE
Fast-Start Fault Recovery                     TRUE
File Mapping                                  TRUE
Fine-grained Auditing                         TRUE
Fine-grained access control                   TRUE
Flashback Data Archive                        TRUE
Flashback Database                            TRUE
Flashback Table                               TRUE
Global Data Services                          TRUE
Heat Map                                      TRUE
I/O Server                                    FALSE
In-Memory Aggregation                         TRUE
In-Memory Column Store                        TRUE
Incremental backup and recovery               TRUE
Instead-of triggers                           TRUE
Java                                          TRUE
Join index                                    TRUE
Managed Standby                               TRUE
Management Database                           FALSE
Materialized view rewrite                     TRUE
OLAP                                          TRUE
OLAP Window Functions                         TRUE
Objects                                       TRUE
Online Index Build                            TRUE
Online Redefinition                           TRUE
Oracle Data Guard                             TRUE
Oracle Database Vault                         FALSE
Oracle Label Security                         FALSE
Parallel backup and recovery                  TRUE
Parallel execution                            TRUE
Parallel load                                 TRUE
Partitioning                                  TRUE
Plan Stability                                TRUE
Point-in-time tablespace recovery             TRUE
Privilege Analysis                            TRUE
Proxy authentication/authorization            TRUE
Real Application Clusters                     FALSE
Real Application Security                     TRUE
Real Application Testing                      TRUE
Result Cache                                  TRUE
SQL Plan Management                           TRUE
Sample Scan                                   TRUE
SecureFiles Encryption                        TRUE
Server Flash Cache                            TRUE
Snapshot time recovery                        TRUE
Spatial                                       TRUE
Streams Capture                               TRUE
Table Clustering                              TRUE
Transparent Application Failover              TRUE
Transparent Data Encryption                   TRUE
Transparent Sensitive Data Protection         TRUE
Trial Recovery                                TRUE
Unified Auditing                              FALSE
Unused Block Compression                      TRUE
XStream                                       TRUE
Zone Maps                                     TRUE</t>
  </si>
  <si>
    <t>PROFILE              LIMIT
-------------------- ------------------------------
DEFAULT              NULL</t>
  </si>
  <si>
    <t>AUDCNT
-------------
          148</t>
  </si>
  <si>
    <t/>
  </si>
  <si>
    <t>--------------------------------------------------------------
ScnHealthCheck
--------------------------------------------------------------
Current Date: 2025/09/08 22:46:10
Current SCN:   2040524
Version:       19.0.0.0.0
--------------------------------------------------------------
Result: A - SCN Headroom is good
Apply the latest recommended patches
based on your maintenance schedule
For further information review MOS document id 1393363.1
--------------------------------------------------------------</t>
  </si>
  <si>
    <t>SQL_ID        SQL_TEXT                                                 ELAPSED_SECONDS       EXECUTIONS Ela(s)_per Cpu(s)_per
------------- ------------------------------------------------------- ---------------- ---------------- ---------- ----------
b9p45hkcx0pwh select dbms_qopatch.get_opatch_lsinventory() from dual                 1                1       1.31        .31
20x4skzx6dbjm INSERT INTO OPATCH_XINV_TAB(XML_INVENTORY) SELECT * FRO                1                1       1.12        .12
              M OPATCH_XML_INV
f6cz4n8y72xdc SELECT space_usage_kbytes  FROM  v$sysaux_occupants  WH                0                1        .21        .15
              ERE occupant_name = 'SQL_
02577v815yp77 BEGIN :success := dbms_ha_alerts_prvt.post_instance_up;                0                1        .19        .21
               END;
d0znnsmjp43rz SELECT 'DROP TRIGGER '||OWNER||'."'||TRIGGER_NAME||'";'                0                1        .16        .17
               FROM DBA_TRIGGERS WHERE</t>
  </si>
  <si>
    <t>SGA_MAX_SIZE(G) SGA_TARGET(G) SHARED_POOL_SIZE(G) SHARED_POOL_FREE(G) CACHE_SIZE(G)
--------------- ------------- ------------------- ------------------- -------------
              2             2                 .44                 .18          1.42</t>
  </si>
  <si>
    <t>SHARED_POOL_USAGE_PCT(%)
------------------------
                      15</t>
  </si>
  <si>
    <t>RESOURCE_NAME             CURRENT_UTILIZATION  MAX_UTILIZATION LIMIT_VALUE
------------------------- ------------------- ---------------- ---------------
processes                                  59               61        300
sessions                                   69               71        472
ges_procs                                   0                0          0
ges_rsv_msgs                                0                0          0
parallel_max_servers                        4                4      32767</t>
  </si>
  <si>
    <t>ACTION_TIM ACTION       NAMESPACE  VERSION                COMMENTS
---------- ------------ ---------- ---------------------- ---------------------------------------------
           BOOTSTRAP    DATAPATCH  19                     RDBMS_19.3.0.0.0DBRU_LINUX.X64_190417
2025-09-08 RU_APPLY     SERVER     19.0.0.0.0             Patch applied on 19.3.0.0.0: Release_Update -
                                                           190410122720</t>
  </si>
  <si>
    <t>29585399;OCW RELEASE UPDATE 19.3.0.0.0 (29585399)
29517242;Database Release Update : 19.3.0.0.190416 (29517242)
OPatch succeeded.</t>
  </si>
  <si>
    <t>oracle    20502      1  0 22:06 ?        00:00:00 /u01/app/oracle/product/19c/db_1/bin/tnslsnr LISTENER -inherit
LSNRCTL for Linux: Version 19.0.0.0.0 - Production on 08-SEP-2025 22:46:23
Copyright (c) 1991, 2019, Oracle.  All rights reserved.
Connecting to (DESCRIPTION=(ADDRESS=(PROTOCOL=TCP)(HOST=192.168.26.20)(PORT=1521)))
STATUS of the LISTENER
------------------------
Alias                     LISTENER
Version                   TNSLSNR for Linux: Version 19.0.0.0.0 - Production
Start Date                08-SEP-2025 22:06:59
Uptime                    0 days 0 hr. 39 min. 23 sec
Trace Level               off
Security                  ON: Local OS Authentication
SNMP                      OFF
Listener Parameter File   /u01/app/oracle/product/19c/db_1/network/admin/listener.ora
Listener Log File         /u01/app/oracle/diag/tnslsnr/db20/listener/alert/log.xml
Listening Endpoints Summary...
  (DESCRIPTION=(ADDRESS=(PROTOCOL=tcp)(HOST=192.168.26.20)(PORT=1521)))
Services Summary...
Service "orcl" has 1 instance(s).
  Instance "orcl", status UNKNOWN, has 1 handler(s) for this service...
The command completed successfully
size=1728 bytes, file=/u01/app/oracle/../oracle/diag/tnslsnr/db20/listener/trace/listener.log</t>
  </si>
  <si>
    <t>PARAMETER
--------------------------------------------------------------------------------------------------------------------------------------------
background_dump_dest = /u01/app/oracle/product/19c/db_1/rdbms/log
control_file_record_keep_time = 7
db_cache_size = 0
db_file_name_convert =
db_files = 200
deferred_segment_creation = TRUE
event =
fal_server =
log_archive_config =
log_archive_dest_1 = location=/u01/app/oracle/arch
log_archive_dest_2 =
log_archive_dest_3 =
log_archive_dest_4 =
log_archive_dest_state_1 = enable
log_archive_dest_state_2 = enable
log_archive_dest_state_3 = enable
log_archive_dest_state_4 = enable
log_file_name_convert =
max_dump_file_size = unlimited
memory_max_target = 0
memory_target = 0
parallel_force_local = FALSE
parallel_max_servers = 40
pga_aggregate_target = 1073741824
processes = 300
session_cached_cursors = 50
sga_max_size = 2147483648
sga_target = 2147483648
shared_pool_size = 0
streams_pool_size = 0
undo_retention = 900
user_dump_dest = /u01/app/oracle/product/19c/db_1/rdbms/log</t>
  </si>
  <si>
    <t>/tmp/eav2/20250908_db20/20250908_db20.orcl.ora</t>
  </si>
  <si>
    <t>GROUP# THREAD#                  SEQUENCE#         MB ARCHIVED   STATUS
------ ------- -------------------------- ---------- ---------- ----------------
     1       1                          4      200.0 YES        INACTIVE
     2       1                          5      200.0 NO         CURRENT
     3       1                          3      200.0 YES        INACTIVE</t>
  </si>
  <si>
    <t>DT    DY  Total   h0   h1   h2   h3   h4   h5   h6   h7   h8   h9  h10  h11  h12  h13  h14  h15  h16  h17  h18  h19  h20  h21  h22  h23
----- --- ----- ---- ---- ---- ---- ---- ---- ---- ---- ---- ---- ---- ---- ---- ---- ---- ---- ---- ---- ---- ---- ---- ---- ---- ----
08/09 Mon     4    0    0    0    0    0    0    0    0    0    0    0    0    0    0    0    0    0    0    0    0    0    0    4    0</t>
  </si>
  <si>
    <t>no rows selected</t>
  </si>
  <si>
    <t>严重</t>
  </si>
  <si>
    <t>问题: db20主机,文件系统使用率当前值100%超过严重阈值90%,
建议: 需尽快清理或扩容</t>
  </si>
  <si>
    <t>问题: orcl数据库,未发现RMAN备份记录,
建议: 确认是否有其他有效备份,尽快部署RMAN备份策略</t>
  </si>
  <si>
    <t>问题: db20主机,min_free_kbytes参数当前值9734小于阈值67584,
建议: 设置min_free_kbytes=67584</t>
  </si>
  <si>
    <t>问题: db20主机,sem参数总信号量当前32000小于阈值[250 256000 100 1024],
建议: 调整sem参数</t>
  </si>
  <si>
    <t>问题: db20主机,文件系统使用率当前值100%超过阈值80%,
建议: 及时清理或扩容</t>
  </si>
  <si>
    <t>问题: db20主机,可用内存当前3156 MB小于阈值4096 MB,
建议: 增加内存或优化内存使用</t>
  </si>
  <si>
    <t>主机大页检查</t>
  </si>
  <si>
    <t>问题: db20主机,未配置大页内存,
建议: 根据数据库SGA大小配置适当的大页内存</t>
  </si>
  <si>
    <t>SELinux状态检查</t>
  </si>
  <si>
    <t>问题: db20主机,SELinux安全模块当前已启用,
建议: 禁用SELinux以提升数据库整体稳定性</t>
  </si>
  <si>
    <t>NSSwitch配置检查</t>
  </si>
  <si>
    <t>问题: db20主机,NSSwitch配置中发现NIS配置,
建议: 移除NIS配置以提升系统安全性</t>
  </si>
  <si>
    <t>lo网卡MTU检查</t>
  </si>
  <si>
    <t>问题: db20主机,LO网卡MTU值当前为65536,超过16384,
建议: 调整为16384或更小值以提升网络性能</t>
  </si>
  <si>
    <t>ZEROCONF路由检查</t>
  </si>
  <si>
    <t>问题: db20主机,NOZEROCONF未配置或未明确配置,
建议: 设置NOZEROCONF=yes以提升网络安全性</t>
  </si>
  <si>
    <t>安全漏洞RPM包检查</t>
  </si>
  <si>
    <t>问题: db20主机,检测到安装了存在安全风险的RPM包
freetype-2.8-12.el7.x86_64
open-vm-tools-10.2.5-3.el7.x86_64
freetype-devel-2.8-12.el7.x86_64,
建议: 移除存在安全隐患的RPM包以提升系统安全性</t>
  </si>
  <si>
    <t>问题: db20主机,swappiness参数当前值30大于阈值1,
建议: 设置swappiness=1</t>
  </si>
  <si>
    <t>问题: db20主机,ipfrag_high_thresh参数当前值4194304小于阈值16777216,
建议: 设置ipfrag_high_thresh=16777216</t>
  </si>
  <si>
    <t>问题: db20主机,ipfrag_low_thresh参数当前值3145728小于阈值15728640,
建议: 设置ipfrag_low_thresh=15728640</t>
  </si>
  <si>
    <t>PROFILE密码复杂性验证</t>
  </si>
  <si>
    <t>问题: orcl数据库,存在未设置密码复杂性校验的PROFILE,
建议: 启用密码复杂性验证以增强安全性</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</si>
</sst>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3">
    <numFmt numFmtId="7" formatCode="&quot;$&quot;#,##0.00_);\(&quot;$&quot;#,##0.00\)"/>
    <numFmt numFmtId="44" formatCode="_(&quot;$&quot;* #,##0.00_);_(&quot;$&quot;* \(#,##0.00\);_(&quot;$&quot;* &quot;-&quot;??_);_(@_)"/>
    <numFmt numFmtId="176" formatCode="0.00_);[Red]\(0.00\)"/>
  </numFmts>
  <fonts count="47">
    <font>
      <sz val="11"/>
      <color theme="3"/>
      <name val="Corbel"/>
      <family val="2"/>
      <scheme val="minor"/>
    </font>
    <font>
      <sz val="11"/>
      <color theme="1"/>
      <name val="Corbel"/>
      <family val="2"/>
      <scheme val="minor"/>
    </font>
    <font>
      <sz val="11"/>
      <color theme="1"/>
      <name val="Corbel"/>
      <family val="2"/>
      <scheme val="minor"/>
    </font>
    <font>
      <sz val="11"/>
      <color theme="1"/>
      <name val="Corbel"/>
      <family val="2"/>
      <scheme val="minor"/>
    </font>
    <font>
      <b val="1"/>
      <sz val="12"/>
      <color theme="3"/>
      <name val="Corbel"/>
      <family val="2"/>
      <scheme val="minor"/>
    </font>
    <font>
      <sz val="20"/>
      <color theme="1"/>
      <name val="Impact"/>
      <family val="2"/>
      <scheme val="major"/>
    </font>
    <font>
      <sz val="11"/>
      <color theme="3"/>
      <name val="Corbel"/>
      <family val="2"/>
      <scheme val="minor"/>
    </font>
    <font>
      <sz val="11"/>
      <color theme="0"/>
      <name val="Corbel"/>
      <family val="2"/>
      <scheme val="minor"/>
    </font>
    <font>
      <sz val="32"/>
      <color theme="1"/>
      <name val="Impact"/>
      <family val="2"/>
      <scheme val="major"/>
    </font>
    <font>
      <sz val="12"/>
      <color theme="1"/>
      <name val="Corbel"/>
      <family val="2"/>
      <scheme val="minor"/>
    </font>
    <font>
      <sz val="11"/>
      <name val="Corbel"/>
      <family val="2"/>
      <scheme val="minor"/>
    </font>
    <font>
      <sz val="32"/>
      <color theme="2" tint="-0.499984740745262"/>
      <name val="Impact"/>
      <family val="2"/>
      <scheme val="major"/>
    </font>
    <font>
      <b val="1"/>
      <sz val="18"/>
      <color theme="2" tint="-0.499984740745262"/>
      <name val="Corbel"/>
      <family val="2"/>
      <scheme val="minor"/>
    </font>
    <font>
      <b val="1"/>
      <sz val="12"/>
      <color theme="1"/>
      <name val="Corbel"/>
      <family val="2"/>
      <scheme val="minor"/>
    </font>
    <font>
      <sz val="9"/>
      <name val="宋体"/>
      <family val="3"/>
      <charset val="134"/>
      <scheme val="minor"/>
    </font>
    <font>
      <b val="1"/>
      <sz val="36"/>
      <color theme="1"/>
      <name val="Impact"/>
      <family val="2"/>
    </font>
    <font>
      <b val="1"/>
      <sz val="36"/>
      <color theme="1"/>
      <name val="等线"/>
      <family val="2"/>
      <charset val="134"/>
    </font>
    <font>
      <sz val="32"/>
      <color theme="2" tint="-0.499984740745262"/>
      <name val="Impact"/>
      <family val="2"/>
    </font>
    <font>
      <sz val="11"/>
      <color theme="3"/>
      <name val="宋体"/>
      <family val="2"/>
      <charset val="134"/>
    </font>
    <font>
      <b val="1"/>
      <sz val="12"/>
      <color theme="1"/>
      <name val="微软雅黑"/>
      <family val="2"/>
      <charset val="134"/>
      <scheme val="minor"/>
    </font>
    <font>
      <b val="1"/>
      <sz val="12"/>
      <color theme="1"/>
      <name val="宋体"/>
      <family val="2"/>
      <charset val="134"/>
    </font>
    <font>
      <sz val="11"/>
      <color theme="1"/>
      <name val="Microsoft YaHei Light"/>
      <family val="2"/>
      <charset val="134"/>
    </font>
    <font>
      <sz val="11"/>
      <color theme="3"/>
      <name val="Microsoft YaHei Light"/>
      <family val="2"/>
      <charset val="134"/>
    </font>
    <font>
      <b val="1"/>
      <sz val="11"/>
      <color theme="3"/>
      <name val="Microsoft YaHei Light"/>
      <family val="2"/>
      <charset val="134"/>
    </font>
    <font>
      <sz val="32"/>
      <color theme="6"/>
      <name val="Impact"/>
      <family val="2"/>
    </font>
    <font>
      <sz val="11"/>
      <color theme="1"/>
      <name val="Calibri"/>
      <family val="2"/>
    </font>
    <font>
      <sz val="9"/>
      <color theme="1"/>
      <name val="Microsoft YaHei Light"/>
      <family val="2"/>
      <charset val="134"/>
    </font>
    <font>
      <b val="1"/>
      <sz val="12"/>
      <color theme="0"/>
      <name val="宋体"/>
      <family val="2"/>
      <charset val="134"/>
    </font>
    <font>
      <sz val="8"/>
      <color theme="1"/>
      <name val="Cascadia Code Light"/>
      <family val="3"/>
    </font>
    <font>
      <sz val="9"/>
      <color rgb="FF0066FF"/>
      <name val="Corbel"/>
      <family val="2"/>
      <scheme val="minor"/>
    </font>
    <font>
      <sz val="9"/>
      <color rgb="FF0066FF"/>
      <name val="Microsoft YaHei Light"/>
      <family val="2"/>
      <charset val="134"/>
    </font>
    <font>
      <sz val="10"/>
      <color theme="1"/>
      <name val="Calibri"/>
      <family val="2"/>
    </font>
    <font>
      <sz val="12"/>
      <color theme="1"/>
      <name val="等线"/>
      <family val="3"/>
      <charset val="134"/>
    </font>
    <font>
      <sz val="12"/>
      <color theme="0"/>
      <name val="等线"/>
      <family val="3"/>
      <charset val="134"/>
    </font>
    <font>
      <b val="1"/>
      <sz val="11"/>
      <color theme="0"/>
      <name val="等线"/>
      <family val="3"/>
      <charset val="134"/>
    </font>
    <font>
      <sz val="12"/>
      <color theme="1"/>
      <name val="Cascadia Code Light"/>
      <family val="3"/>
    </font>
    <font>
      <sz val="11"/>
      <color theme="0"/>
      <name val="等线"/>
      <family val="3"/>
      <charset val="134"/>
    </font>
    <font>
      <b val="1"/>
      <sz val="12"/>
      <color theme="0"/>
      <name val="等线"/>
      <family val="3"/>
      <charset val="134"/>
    </font>
    <font>
      <u/>
      <sz val="10"/>
      <color theme="3"/>
      <name val="仿宋"/>
      <family val="3"/>
      <charset val="134"/>
    </font>
    <font>
      <sz val="7"/>
      <color theme="1"/>
      <name val="Cascadia Code Light"/>
      <family val="3"/>
    </font>
    <font>
      <u/>
      <sz val="9"/>
      <color theme="1"/>
      <name val="Microsoft YaHei Light"/>
      <family val="2"/>
      <charset val="134"/>
    </font>
    <font>
      <sz val="11"/>
      <color theme="3"/>
      <name val="宋体"/>
      <family val="3"/>
      <charset val="134"/>
      <scheme val="minor"/>
    </font>
    <font>
      <sz val="11"/>
      <color theme="7" tint="0.7999816888943144"/>
      <name val="Corbel"/>
      <family val="2"/>
    </font>
    <font>
      <sz val="11"/>
      <color theme="1"/>
      <name val="Corbel"/>
      <family val="2"/>
    </font>
    <font>
      <u/>
      <sz val="9"/>
      <color theme="1"/>
      <name val="仿宋"/>
      <family val="3"/>
      <charset val="134"/>
    </font>
    <font>
      <sz val="10"/>
      <color theme="3"/>
      <name val="Cascadia Code Light"/>
      <family val="3"/>
    </font>
    <font>
      <sz val="8"/>
      <color/>
      <name val="Cascadia Code Light"/>
      <family val="2"/>
    </font>
  </fonts>
  <fills count="12">
    <fill>
      <patternFill patternType="none"/>
    </fill>
    <fill>
      <patternFill patternType="gray125"/>
    </fill>
    <fill>
      <patternFill patternType="solid">
        <fgColor theme="0"/>
        <bgColor indexed="64"/>
      </patternFill>
    </fill>
    <fill>
      <patternFill patternType="solid">
        <fgColor theme="7" tint="0.7999816888943144"/>
        <bgColor indexed="65"/>
      </patternFill>
    </fill>
    <fill>
      <patternFill patternType="solid">
        <fgColor rgb="FFEAEAEA"/>
        <bgColor indexed="64"/>
      </patternFill>
    </fill>
    <fill>
      <patternFill patternType="solid">
        <fgColor theme="0" tint="-0.0499893185216834"/>
        <bgColor indexed="64"/>
      </patternFill>
    </fill>
    <fill>
      <patternFill patternType="solid">
        <fgColor theme="0" tint="-0.0499893185216834"/>
        <bgColor theme="0" tint="-0.14993743705557422"/>
      </patternFill>
    </fill>
    <fill>
      <patternFill patternType="solid">
        <fgColor theme="1" tint="0.499984740745262"/>
        <bgColor indexed="64"/>
      </patternFill>
    </fill>
    <fill>
      <patternFill patternType="solid">
        <fgColor rgb="FF555555"/>
      </patternFill>
    </fill>
    <fill>
      <patternFill patternType="solid">
        <fgColor rgb="FF00B0F0"/>
      </patternFill>
    </fill>
    <fill>
      <patternFill patternType="solid">
        <fgColor rgb="FFEBA8A5"/>
      </patternFill>
    </fill>
    <fill>
      <patternFill patternType="solid">
        <fgColor rgb="FFB3DEE3"/>
      </patternFill>
    </fill>
  </fills>
  <borders count="31">
    <border>
      <left/>
      <right/>
      <top/>
      <bottom/>
      <diagonal/>
    </border>
    <border>
      <left/>
      <right/>
      <top style="thick">
        <color theme="2" tint="-0.499984740745262"/>
      </top>
      <bottom/>
      <diagonal/>
    </border>
    <border>
      <left/>
      <right/>
      <top/>
      <bottom style="thick">
        <color theme="2" tint="-0.499984740745262"/>
      </bottom>
      <diagonal/>
    </border>
    <border>
      <left/>
      <right/>
      <top style="dotted">
        <color theme="2" tint="-0.499984740745262"/>
      </top>
      <bottom style="dotted">
        <color theme="2" tint="-0.499984740745262"/>
      </bottom>
      <diagonal/>
    </border>
    <border>
      <left style="thin">
        <color rgb="FF000000"/>
      </left>
      <right style="thin">
        <color rgb="FF000000"/>
      </right>
      <top style="thin">
        <color rgb="FF000000"/>
      </top>
      <bottom style="thin">
        <color rgb="FF000000"/>
      </bottom>
      <diagonal/>
    </border>
    <border>
      <left/>
      <right/>
      <top style="dotted">
        <color theme="2" tint="-0.499984740745262"/>
      </top>
      <bottom/>
      <diagonal/>
    </border>
    <border>
      <left/>
      <right/>
      <top/>
      <bottom style="hair">
        <color theme="1" tint="0.3499862666707358"/>
      </bottom>
      <diagonal/>
    </border>
    <border>
      <left/>
      <right/>
      <top style="hair">
        <color theme="1" tint="0.3499862666707358"/>
      </top>
      <bottom style="hair">
        <color theme="1" tint="0.3499862666707358"/>
      </bottom>
      <diagonal/>
    </border>
    <border>
      <left/>
      <right/>
      <top style="hair">
        <color theme="1" tint="0.3499862666707358"/>
      </top>
      <bottom style="thick">
        <color theme="2" tint="-0.499984740745262"/>
      </bottom>
      <diagonal/>
    </border>
    <border>
      <left style="thin">
        <color theme="6"/>
      </left>
      <right style="thin">
        <color theme="6"/>
      </right>
      <top/>
      <bottom style="hair">
        <color indexed="64"/>
      </bottom>
      <diagonal/>
    </border>
    <border>
      <left/>
      <right/>
      <top style="thick">
        <color theme="2" tint="-0.499984740745262"/>
      </top>
      <bottom style="dotted">
        <color theme="2" tint="-0.499984740745262"/>
      </bottom>
      <diagonal/>
    </border>
    <border>
      <left/>
      <right/>
      <top/>
      <bottom style="thin">
        <color theme="0" tint="-0.1499984740745262"/>
      </bottom>
      <diagonal/>
    </border>
    <border>
      <left/>
      <right style="thin">
        <color theme="6"/>
      </right>
      <top/>
      <bottom style="hair">
        <color indexed="64"/>
      </bottom>
      <diagonal/>
    </border>
    <border>
      <left style="thin">
        <color theme="6"/>
      </left>
      <right style="thin">
        <color theme="6"/>
      </right>
      <top/>
      <bottom style="thin">
        <color theme="6"/>
      </bottom>
      <diagonal/>
    </border>
    <border>
      <left style="thin">
        <color rgb="FF000000"/>
      </left>
      <right style="thin">
        <color theme="2" tint="-0.249977111117893"/>
      </right>
      <top style="thin">
        <color theme="0" tint="-0.1499984740745262"/>
      </top>
      <bottom style="thin">
        <color theme="6"/>
      </bottom>
      <diagonal/>
    </border>
    <border>
      <left/>
      <right style="thin">
        <color theme="6"/>
      </right>
      <top/>
      <bottom style="thin">
        <color theme="6"/>
      </bottom>
      <diagonal/>
    </border>
    <border>
      <left style="thin">
        <color rgb="FF000000"/>
      </left>
      <right style="thin">
        <color theme="2" tint="-0.249977111117893"/>
      </right>
      <top style="thin">
        <color rgb="FF000000"/>
      </top>
      <bottom style="hair">
        <color indexed="64"/>
      </bottom>
      <diagonal/>
    </border>
    <border>
      <left style="thin">
        <color theme="2" tint="-0.249977111117893"/>
      </left>
      <right style="thin">
        <color theme="6"/>
      </right>
      <top style="hair">
        <color indexed="64"/>
      </top>
      <bottom style="hair">
        <color theme="2" tint="-0.0999786370433668"/>
      </bottom>
      <diagonal/>
    </border>
    <border>
      <left style="thin">
        <color theme="6"/>
      </left>
      <right style="thin">
        <color theme="6"/>
      </right>
      <top style="hair">
        <color indexed="64"/>
      </top>
      <bottom style="hair">
        <color theme="2" tint="-0.0999786370433668"/>
      </bottom>
      <diagonal/>
    </border>
    <border>
      <left style="thin">
        <color rgb="FF000000"/>
      </left>
      <right style="thin">
        <color theme="2" tint="-0.249977111117893"/>
      </right>
      <top style="hair">
        <color indexed="64"/>
      </top>
      <bottom style="hair">
        <color theme="2" tint="-0.0999786370433668"/>
      </bottom>
      <diagonal/>
    </border>
    <border>
      <left style="thin">
        <color theme="2" tint="-0.249977111117893"/>
      </left>
      <right style="thin">
        <color theme="6"/>
      </right>
      <top/>
      <bottom style="hair">
        <color theme="2" tint="-0.0999786370433668"/>
      </bottom>
      <diagonal/>
    </border>
    <border>
      <left style="thin">
        <color rgb="FF000000"/>
      </left>
      <right style="thin">
        <color theme="2" tint="-0.249977111117893"/>
      </right>
      <top/>
      <bottom style="hair">
        <color theme="2" tint="-0.0999786370433668"/>
      </bottom>
      <diagonal/>
    </border>
    <border>
      <left style="thin">
        <color theme="2" tint="-0.249977111117893"/>
      </left>
      <right style="thin">
        <color theme="6"/>
      </right>
      <top style="hair">
        <color theme="2" tint="-0.0999786370433668"/>
      </top>
      <bottom style="hair">
        <color theme="2" tint="-0.499984740745262"/>
      </bottom>
      <diagonal/>
    </border>
    <border>
      <left style="thin">
        <color rgb="FF000000"/>
      </left>
      <right style="thin">
        <color theme="2" tint="-0.249977111117893"/>
      </right>
      <top style="hair">
        <color theme="2" tint="-0.0999786370433668"/>
      </top>
      <bottom style="hair">
        <color theme="2" tint="-0.499984740745262"/>
      </bottom>
      <diagonal/>
    </border>
    <border>
      <left style="thin">
        <color theme="6"/>
      </left>
      <right style="thin">
        <color theme="6"/>
      </right>
      <top style="hair">
        <color theme="2" tint="-0.0999786370433668"/>
      </top>
      <bottom style="hair">
        <color theme="2" tint="-0.499984740745262"/>
      </bottom>
      <diagonal/>
    </border>
    <border>
      <left style="thin">
        <color theme="6"/>
      </left>
      <right style="thin">
        <color theme="6"/>
      </right>
      <top/>
      <bottom style="hair">
        <color theme="2" tint="-0.0999786370433668"/>
      </bottom>
      <diagonal/>
    </border>
    <border>
      <left/>
      <right/>
      <top style="dotted">
        <color theme="2" tint="-0.499984740745262"/>
      </top>
      <bottom style="thin">
        <color indexed="64"/>
      </bottom>
      <diagonal/>
    </border>
    <border>
      <left/>
      <right/>
      <top style="thin">
        <color indexed="64"/>
      </top>
      <bottom/>
      <diagonal/>
    </border>
    <border>
      <left style="thin">
        <color rgb="FF000000"/>
      </left>
      <right style="thin">
        <color theme="2" tint="-0.249977111117893"/>
      </right>
      <top/>
      <bottom/>
      <diagonal/>
    </border>
    <border>
      <left style="thin">
        <color theme="2" tint="-0.249977111117893"/>
      </left>
      <right style="thin">
        <color theme="6"/>
      </right>
      <top/>
      <bottom/>
      <diagonal/>
    </border>
    <border>
      <left style="thin">
        <color theme="6"/>
      </left>
      <right style="thin">
        <color theme="6"/>
      </right>
      <top/>
      <bottom/>
      <diagonal/>
    </border>
  </borders>
  <cellStyleXfs count="20">
    <xf numFmtId="0" fontId="0" fillId="2" borderId="0">
      <alignment vertical="center" wrapText="true"/>
    </xf>
    <xf numFmtId="0" fontId="5" fillId="0" borderId="0" applyNumberFormat="false" applyFill="false" applyProtection="false">
      <alignment horizontal="left" vertical="center"/>
    </xf>
    <xf numFmtId="0" fontId="9" fillId="0" borderId="0" applyNumberFormat="false" applyFill="false" applyBorder="false" applyProtection="false">
      <alignment horizontal="left" wrapText="true"/>
    </xf>
    <xf numFmtId="44" fontId="3" fillId="0" borderId="0" applyFont="false" applyFill="false" applyBorder="false" applyProtection="false">
      <alignment vertical="center"/>
    </xf>
    <xf numFmtId="9" fontId="7" fillId="0" borderId="0" applyFill="false" applyBorder="false" applyProtection="false">
      <alignment horizontal="left" vertical="center"/>
    </xf>
    <xf numFmtId="0" fontId="8" fillId="0" borderId="0" applyNumberFormat="false" applyFill="false" applyBorder="false" applyProtection="false">
      <alignment vertical="center"/>
    </xf>
    <xf numFmtId="0" fontId="7" fillId="0" borderId="0" applyNumberFormat="false" applyFill="false" applyBorder="false" applyAlignment="false">
      <alignment vertical="center"/>
    </xf>
    <xf numFmtId="0" fontId="4" fillId="0" borderId="1" applyNumberFormat="false" applyFill="false" applyProtection="false">
      <alignment horizontal="right" vertical="center"/>
    </xf>
    <xf numFmtId="0" fontId="12" fillId="0" borderId="0" applyNumberFormat="false" applyFill="false" applyBorder="false" applyProtection="false">
      <alignment horizontal="left"/>
    </xf>
    <xf numFmtId="7" fontId="4" fillId="0" borderId="1" applyFill="false" applyAlignment="false" applyProtection="false"/>
    <xf numFmtId="37" fontId="6" fillId="0" borderId="0" applyFont="false" applyFill="false" applyBorder="false" applyProtection="false">
      <alignment horizontal="left" indent="1" vertical="center"/>
    </xf>
    <xf numFmtId="7" fontId="6" fillId="0" borderId="0" applyFont="false" applyFill="false" applyBorder="false" applyProtection="false">
      <alignment horizontal="right" vertical="center"/>
    </xf>
    <xf numFmtId="0" fontId="6" fillId="2" borderId="0" applyNumberFormat="false" applyFont="false" applyFill="false" applyBorder="false">
      <alignment horizontal="center" vertical="center"/>
    </xf>
    <xf numFmtId="0" fontId="6" fillId="2" borderId="0" applyNumberFormat="false" applyFont="false" applyFill="false" applyBorder="false">
      <alignment horizontal="right" vertical="center"/>
    </xf>
    <xf numFmtId="0" fontId="10" fillId="2" borderId="0" applyNumberFormat="false" applyFill="false" applyBorder="false" applyAlignment="false" applyProtection="false">
      <alignment vertical="center" wrapText="true"/>
    </xf>
    <xf numFmtId="0" fontId="10" fillId="2" borderId="0" applyNumberFormat="false" applyFill="false" applyBorder="false" applyAlignment="false" applyProtection="false">
      <alignment vertical="center" wrapText="true"/>
    </xf>
    <xf numFmtId="0" fontId="2" fillId="3" borderId="0" applyNumberFormat="false" applyBorder="false" applyAlignment="false" applyProtection="false"/>
    <xf numFmtId="0" fontId="11" fillId="0" borderId="0">
      <alignment vertical="center"/>
    </xf>
    <xf numFmtId="0" fontId="6" fillId="0" borderId="0" applyNumberFormat="false" applyFill="false" applyBorder="false" applyProtection="false">
      <alignment vertical="center"/>
    </xf>
    <xf numFmtId="0" fontId="25" fillId="0" borderId="0"/>
  </cellStyleXfs>
  <cellXfs count="134">
    <xf numFmtId="0" fontId="0" fillId="2" borderId="0" xfId="0">
      <alignment vertical="center" wrapText="true"/>
    </xf>
    <xf numFmtId="9" fontId="1" fillId="2" borderId="0" xfId="4" applyFont="true" applyFill="true">
      <alignment horizontal="left" vertical="center"/>
    </xf>
    <xf numFmtId="0" fontId="6" fillId="4" borderId="0" xfId="18" applyFill="true" applyAlignment="true">
      <alignment horizontal="right" vertical="center"/>
    </xf>
    <xf numFmtId="0" fontId="5" fillId="4" borderId="0" xfId="1" applyFill="true">
      <alignment horizontal="left" vertical="center"/>
    </xf>
    <xf numFmtId="0" fontId="0" fillId="4" borderId="0" xfId="0" applyFill="true">
      <alignment vertical="center" wrapText="true"/>
    </xf>
    <xf numFmtId="0" fontId="5" fillId="4" borderId="0" xfId="1" applyFill="true" applyAlignment="true">
      <alignment vertical="center"/>
    </xf>
    <xf numFmtId="0" fontId="0" fillId="4" borderId="0" xfId="13" applyFont="true" applyFill="true">
      <alignment horizontal="right" vertical="center"/>
    </xf>
    <xf numFmtId="7" fontId="0" fillId="4" borderId="0" xfId="11" applyFont="true" applyFill="true">
      <alignment horizontal="right" vertical="center"/>
    </xf>
    <xf numFmtId="9" fontId="1" fillId="4" borderId="0" xfId="4" applyFont="true" applyFill="true">
      <alignment horizontal="left" vertical="center"/>
    </xf>
    <xf numFmtId="7" fontId="13" fillId="4" borderId="1" xfId="7" applyNumberFormat="true" applyFont="true" applyFill="true">
      <alignment horizontal="right" vertical="center"/>
    </xf>
    <xf numFmtId="7" fontId="4" fillId="4" borderId="1" xfId="9" applyFill="true" applyAlignment="true">
      <alignment vertical="center" wrapText="true"/>
    </xf>
    <xf numFmtId="0" fontId="18" fillId="4" borderId="0" xfId="13" applyFont="true" applyFill="true">
      <alignment horizontal="right" vertical="center"/>
    </xf>
    <xf numFmtId="0" fontId="0" fillId="4" borderId="0" xfId="18" applyFont="true" applyFill="true" applyAlignment="true">
      <alignment horizontal="center" vertical="center"/>
    </xf>
    <xf numFmtId="9" fontId="1" fillId="4" borderId="0" xfId="4" applyFont="true" applyFill="true" applyAlignment="true">
      <alignment horizontal="center" vertical="center"/>
    </xf>
    <xf numFmtId="0" fontId="0" fillId="2" borderId="0" xfId="0" applyAlignment="true">
      <alignment horizontal="center" vertical="center" wrapText="true"/>
    </xf>
    <xf numFmtId="0" fontId="22" fillId="4" borderId="0" xfId="13" applyFont="true" applyFill="true">
      <alignment horizontal="right" vertical="center"/>
    </xf>
    <xf numFmtId="0" fontId="23" fillId="4" borderId="0" xfId="13" applyFont="true" applyFill="true">
      <alignment horizontal="right" vertical="center"/>
    </xf>
    <xf numFmtId="0" fontId="22" fillId="4" borderId="0" xfId="0" applyFont="true" applyFill="true">
      <alignment vertical="center" wrapText="true"/>
    </xf>
    <xf numFmtId="9" fontId="21" fillId="4" borderId="0" xfId="4" applyFont="true" applyFill="true">
      <alignment horizontal="left" vertical="center"/>
    </xf>
    <xf numFmtId="0" fontId="15" fillId="7" borderId="0" xfId="5" applyFont="true" applyFill="true" applyAlignment="true">
      <alignment horizontal="center" vertical="center"/>
    </xf>
    <xf numFmtId="0" fontId="15" fillId="7" borderId="0" xfId="5" applyFont="true" applyFill="true" applyAlignment="true">
      <alignment horizontal="left" vertical="center"/>
    </xf>
    <xf numFmtId="0" fontId="17" fillId="7" borderId="0" xfId="17" applyFont="true" applyFill="true" applyAlignment="true">
      <alignment horizontal="left" vertical="center"/>
    </xf>
    <xf numFmtId="0" fontId="2" fillId="7" borderId="0" xfId="16" applyFill="true" applyAlignment="true">
      <alignment vertical="center" wrapText="true"/>
    </xf>
    <xf numFmtId="0" fontId="24" fillId="7" borderId="0" xfId="17" applyFont="true" applyFill="true" applyAlignment="true">
      <alignment horizontal="left" vertical="center"/>
    </xf>
    <xf numFmtId="0" fontId="25" fillId="0" borderId="0" xfId="19" applyAlignment="true">
      <alignment horizontal="right" indent="1" justifyLastLine="true" shrinkToFit="true" vertical="center" wrapText="true"/>
    </xf>
    <xf numFmtId="0" fontId="25" fillId="0" borderId="0" xfId="19"/>
    <xf numFmtId="0" fontId="21" fillId="6" borderId="5" xfId="0" applyFont="true" applyFill="true" applyBorder="true" applyAlignment="true">
      <alignment horizontal="left" vertical="center" wrapText="true"/>
    </xf>
    <xf numFmtId="0" fontId="21" fillId="6" borderId="5" xfId="0" applyFont="true" applyFill="true" applyBorder="true" applyAlignment="true">
      <alignment horizontal="left" vertical="center"/>
    </xf>
    <xf numFmtId="0" fontId="21" fillId="6" borderId="5" xfId="0" applyFont="true" applyFill="true" applyBorder="true">
      <alignment vertical="center" wrapText="true"/>
    </xf>
    <xf numFmtId="0" fontId="21" fillId="6" borderId="5" xfId="0" applyFont="true" applyFill="true" applyBorder="true" applyAlignment="true">
      <alignment horizontal="center" vertical="center" wrapText="true"/>
    </xf>
    <xf numFmtId="0" fontId="1" fillId="2" borderId="5" xfId="0" applyFont="true" applyBorder="true" applyAlignment="true">
      <alignment horizontal="center" vertical="center" wrapText="true"/>
    </xf>
    <xf numFmtId="0" fontId="21" fillId="2" borderId="5" xfId="0" applyFont="true" applyBorder="true">
      <alignment vertical="center" wrapText="true"/>
    </xf>
    <xf numFmtId="0" fontId="21" fillId="2" borderId="5" xfId="0" applyFont="true" applyBorder="true" applyAlignment="true">
      <alignment vertical="center"/>
    </xf>
    <xf numFmtId="0" fontId="21" fillId="2" borderId="5" xfId="0" applyFont="true" applyBorder="true" applyAlignment="true">
      <alignment horizontal="center" vertical="center" wrapText="true"/>
    </xf>
    <xf numFmtId="0" fontId="21" fillId="6" borderId="5" xfId="0" applyFont="true" applyFill="true" applyBorder="true" applyAlignment="true">
      <alignment vertical="center"/>
    </xf>
    <xf numFmtId="0" fontId="21" fillId="6" borderId="3" xfId="0" applyFont="true" applyFill="true" applyBorder="true">
      <alignment vertical="center" wrapText="true"/>
    </xf>
    <xf numFmtId="0" fontId="21" fillId="6" borderId="3" xfId="0" applyFont="true" applyFill="true" applyBorder="true" applyAlignment="true">
      <alignment horizontal="center" vertical="center" wrapText="true"/>
    </xf>
    <xf numFmtId="0" fontId="10" fillId="0" borderId="0" xfId="14" applyFill="true" applyAlignment="true">
      <alignment horizontal="right" indent="1" justifyLastLine="true" shrinkToFit="true" vertical="center" wrapText="true"/>
    </xf>
    <xf numFmtId="0" fontId="22" fillId="4" borderId="6" xfId="13" applyFont="true" applyFill="true" applyBorder="true">
      <alignment horizontal="right" vertical="center"/>
    </xf>
    <xf numFmtId="7" fontId="22" fillId="4" borderId="6" xfId="11" applyFont="true" applyFill="true" applyBorder="true">
      <alignment horizontal="right" vertical="center"/>
    </xf>
    <xf numFmtId="0" fontId="22" fillId="4" borderId="7" xfId="13" applyFont="true" applyFill="true" applyBorder="true">
      <alignment horizontal="right" vertical="center"/>
    </xf>
    <xf numFmtId="7" fontId="22" fillId="4" borderId="7" xfId="11" applyFont="true" applyFill="true" applyBorder="true">
      <alignment horizontal="right" vertical="center"/>
    </xf>
    <xf numFmtId="0" fontId="22" fillId="4" borderId="7" xfId="13" applyFont="true" applyFill="true" applyBorder="true" applyAlignment="true">
      <alignment horizontal="right" vertical="center" wrapText="true"/>
    </xf>
    <xf numFmtId="0" fontId="22" fillId="4" borderId="6" xfId="13" applyFont="true" applyFill="true" applyBorder="true" applyAlignment="true">
      <alignment horizontal="right" vertical="center" wrapText="true"/>
    </xf>
    <xf numFmtId="0" fontId="28" fillId="0" borderId="0" xfId="19" applyFont="true" applyAlignment="true">
      <alignment horizontal="left" vertical="top" wrapText="true"/>
    </xf>
    <xf numFmtId="0" fontId="28" fillId="0" borderId="0" xfId="19" applyFont="true" applyAlignment="true">
      <alignment horizontal="left" indent="1" justifyLastLine="true" shrinkToFit="true" vertical="center" wrapText="true"/>
    </xf>
    <xf numFmtId="0" fontId="28" fillId="0" borderId="9" xfId="19" applyFont="true" applyBorder="true" applyAlignment="true">
      <alignment horizontal="left" indent="1" justifyLastLine="true" shrinkToFit="true" vertical="center" wrapText="true"/>
    </xf>
    <xf numFmtId="37" fontId="21" fillId="6" borderId="5" xfId="10" applyFont="true" applyFill="true" applyBorder="true" applyAlignment="true">
      <alignment horizontal="left" vertical="center"/>
    </xf>
    <xf numFmtId="37" fontId="21" fillId="2" borderId="5" xfId="10" applyFont="true" applyFill="true" applyBorder="true" applyAlignment="true">
      <alignment horizontal="left" vertical="center"/>
    </xf>
    <xf numFmtId="37" fontId="21" fillId="6" borderId="3" xfId="10" applyFont="true" applyFill="true" applyBorder="true" applyAlignment="true">
      <alignment horizontal="left" vertical="center"/>
    </xf>
    <xf numFmtId="0" fontId="29" fillId="6" borderId="5" xfId="14" applyFont="true" applyFill="true" applyBorder="true">
      <alignment vertical="center" wrapText="true"/>
    </xf>
    <xf numFmtId="0" fontId="29" fillId="2" borderId="5" xfId="14" applyFont="true" applyBorder="true">
      <alignment vertical="center" wrapText="true"/>
    </xf>
    <xf numFmtId="0" fontId="29" fillId="6" borderId="3" xfId="14" applyFont="true" applyFill="true" applyBorder="true">
      <alignment vertical="center" wrapText="true"/>
    </xf>
    <xf numFmtId="0" fontId="30" fillId="2" borderId="3" xfId="0" applyFont="true" applyBorder="true">
      <alignment vertical="center" wrapText="true"/>
    </xf>
    <xf numFmtId="0" fontId="13" fillId="5" borderId="2" xfId="2" applyFont="true" applyFill="true" applyBorder="true" applyAlignment="true">
      <alignment horizontal="center" vertical="center" wrapText="true"/>
    </xf>
    <xf numFmtId="0" fontId="19" fillId="5" borderId="2" xfId="2" applyFont="true" applyFill="true" applyBorder="true" applyAlignment="true">
      <alignment horizontal="center" vertical="center" wrapText="true"/>
    </xf>
    <xf numFmtId="0" fontId="19" fillId="5" borderId="2" xfId="2" applyFont="true" applyFill="true" applyBorder="true" applyAlignment="true">
      <alignment horizontal="center" vertical="center"/>
    </xf>
    <xf numFmtId="0" fontId="19" fillId="5" borderId="2" xfId="2" applyFont="true" applyFill="true" applyBorder="true" applyAlignment="true">
      <alignment horizontal="left" vertical="center" wrapText="true"/>
    </xf>
    <xf numFmtId="0" fontId="19" fillId="5" borderId="2" xfId="2" applyFont="true" applyFill="true" applyBorder="true" applyAlignment="true">
      <alignment horizontal="left" vertical="center"/>
    </xf>
    <xf numFmtId="0" fontId="20" fillId="5" borderId="2" xfId="2" applyFont="true" applyFill="true" applyBorder="true" applyAlignment="true">
      <alignment horizontal="center" vertical="center" wrapText="true"/>
    </xf>
    <xf numFmtId="0" fontId="27" fillId="5" borderId="2" xfId="2" applyFont="true" applyFill="true" applyBorder="true" applyAlignment="true">
      <alignment horizontal="center" vertical="center" wrapText="true"/>
    </xf>
    <xf numFmtId="0" fontId="31" fillId="0" borderId="0" xfId="19" applyFont="true" applyAlignment="true">
      <alignment horizontal="right" indent="1" justifyLastLine="true" shrinkToFit="true" vertical="center" wrapText="true"/>
    </xf>
    <xf numFmtId="0" fontId="31" fillId="0" borderId="0" xfId="19" applyFont="true"/>
    <xf numFmtId="0" fontId="34" fillId="8" borderId="4" xfId="19" applyFont="true" applyFill="true" applyBorder="true" applyAlignment="true">
      <alignment horizontal="center" justifyLastLine="true" shrinkToFit="true" vertical="center" wrapText="true"/>
    </xf>
    <xf numFmtId="0" fontId="34" fillId="0" borderId="0" xfId="19" applyFont="true"/>
    <xf numFmtId="0" fontId="36" fillId="2" borderId="0" xfId="0" applyFont="true">
      <alignment vertical="center" wrapText="true"/>
    </xf>
    <xf numFmtId="0" fontId="28" fillId="0" borderId="11" xfId="19" applyFont="true" applyBorder="true" applyAlignment="true">
      <alignment horizontal="left" indent="1" justifyLastLine="true" shrinkToFit="true" vertical="center" wrapText="true"/>
    </xf>
    <xf numFmtId="0" fontId="28" fillId="0" borderId="12" xfId="19" applyFont="true" applyBorder="true" applyAlignment="true">
      <alignment horizontal="left" indent="1" justifyLastLine="true" shrinkToFit="true" vertical="center" wrapText="true"/>
    </xf>
    <xf numFmtId="0" fontId="28" fillId="0" borderId="13" xfId="19" applyFont="true" applyBorder="true" applyAlignment="true">
      <alignment horizontal="left" indent="1" justifyLastLine="true" shrinkToFit="true" vertical="center" wrapText="true"/>
    </xf>
    <xf numFmtId="0" fontId="28" fillId="0" borderId="15" xfId="19" applyFont="true" applyBorder="true" applyAlignment="true">
      <alignment horizontal="left" indent="1" justifyLastLine="true" shrinkToFit="true" vertical="center" wrapText="true"/>
    </xf>
    <xf numFmtId="0" fontId="28" fillId="0" borderId="17" xfId="19" applyFont="true" applyBorder="true" applyAlignment="true">
      <alignment horizontal="left" indent="1" justifyLastLine="true" shrinkToFit="true" vertical="center" wrapText="true"/>
    </xf>
    <xf numFmtId="0" fontId="28" fillId="0" borderId="18" xfId="19" applyFont="true" applyBorder="true" applyAlignment="true">
      <alignment horizontal="left" indent="1" justifyLastLine="true" shrinkToFit="true" vertical="center" wrapText="true"/>
    </xf>
    <xf numFmtId="0" fontId="28" fillId="0" borderId="20" xfId="19" applyFont="true" applyBorder="true" applyAlignment="true">
      <alignment horizontal="left" indent="1" justifyLastLine="true" shrinkToFit="true" vertical="center" wrapText="true"/>
    </xf>
    <xf numFmtId="0" fontId="28" fillId="0" borderId="22" xfId="19" applyFont="true" applyBorder="true" applyAlignment="true">
      <alignment horizontal="left" indent="1" justifyLastLine="true" shrinkToFit="true" vertical="center" wrapText="true"/>
    </xf>
    <xf numFmtId="0" fontId="28" fillId="0" borderId="25" xfId="19" applyFont="true" applyBorder="true" applyAlignment="true">
      <alignment horizontal="left" indent="1" justifyLastLine="true" shrinkToFit="true" vertical="center" wrapText="true"/>
    </xf>
    <xf numFmtId="0" fontId="28" fillId="0" borderId="24" xfId="19" applyFont="true" applyBorder="true" applyAlignment="true">
      <alignment horizontal="left" indent="1" justifyLastLine="true" shrinkToFit="true" vertical="center" wrapText="true"/>
    </xf>
    <xf numFmtId="0" fontId="35" fillId="0" borderId="16" xfId="19" applyFont="true" applyBorder="true" applyAlignment="true">
      <alignment horizontal="center" justifyLastLine="true" shrinkToFit="true" vertical="center" wrapText="true"/>
    </xf>
    <xf numFmtId="0" fontId="35" fillId="0" borderId="19" xfId="19" applyFont="true" applyBorder="true" applyAlignment="true">
      <alignment horizontal="center" justifyLastLine="true" shrinkToFit="true" vertical="center" wrapText="true"/>
    </xf>
    <xf numFmtId="0" fontId="35" fillId="0" borderId="23" xfId="19" applyFont="true" applyBorder="true" applyAlignment="true">
      <alignment horizontal="center" justifyLastLine="true" shrinkToFit="true" vertical="center" wrapText="true"/>
    </xf>
    <xf numFmtId="0" fontId="35" fillId="0" borderId="21" xfId="19" applyFont="true" applyBorder="true" applyAlignment="true">
      <alignment horizontal="center" justifyLastLine="true" shrinkToFit="true" vertical="center" wrapText="true"/>
    </xf>
    <xf numFmtId="0" fontId="35" fillId="0" borderId="14" xfId="19" applyFont="true" applyBorder="true" applyAlignment="true">
      <alignment horizontal="center" justifyLastLine="true" shrinkToFit="true" vertical="center" wrapText="true"/>
    </xf>
    <xf numFmtId="0" fontId="33" fillId="0" borderId="0" xfId="19" applyFont="true" applyAlignment="true">
      <alignment horizontal="center"/>
    </xf>
    <xf numFmtId="0" fontId="32" fillId="0" borderId="0" xfId="19" applyFont="true" applyAlignment="true">
      <alignment horizontal="center"/>
    </xf>
    <xf numFmtId="0" fontId="0" fillId="0" borderId="0" xfId="0" applyFill="true" applyAlignment="true">
      <alignment horizontal="center" vertical="center" wrapText="true"/>
    </xf>
    <xf numFmtId="0" fontId="6" fillId="4" borderId="0" xfId="18" applyFill="true" applyAlignment="true">
      <alignment horizontal="center" vertical="center"/>
    </xf>
    <xf numFmtId="0" fontId="5" fillId="4" borderId="0" xfId="1" applyFill="true" applyAlignment="true">
      <alignment horizontal="center" vertical="center"/>
    </xf>
    <xf numFmtId="7" fontId="4" fillId="4" borderId="1" xfId="9" applyFill="true" applyAlignment="true">
      <alignment horizontal="center" vertical="center" wrapText="true"/>
    </xf>
    <xf numFmtId="0" fontId="23" fillId="4" borderId="0" xfId="13" applyFont="true" applyFill="true" applyAlignment="true">
      <alignment horizontal="center" vertical="center"/>
    </xf>
    <xf numFmtId="0" fontId="0" fillId="4" borderId="0" xfId="13" applyFont="true" applyFill="true" applyAlignment="true">
      <alignment horizontal="center" vertical="center"/>
    </xf>
    <xf numFmtId="7" fontId="0" fillId="4" borderId="0" xfId="11" applyFont="true" applyFill="true" applyAlignment="true">
      <alignment horizontal="center" vertical="center"/>
    </xf>
    <xf numFmtId="0" fontId="37" fillId="8" borderId="4" xfId="19" applyFont="true" applyFill="true" applyBorder="true" applyAlignment="true">
      <alignment horizontal="center" justifyLastLine="true" shrinkToFit="true" vertical="center" wrapText="true"/>
    </xf>
    <xf numFmtId="176" fontId="1" fillId="4" borderId="0" xfId="4" applyNumberFormat="true" applyFont="true" applyFill="true">
      <alignment horizontal="left" vertical="center"/>
    </xf>
    <xf numFmtId="0" fontId="39" fillId="0" borderId="20" xfId="19" applyFont="true" applyBorder="true" applyAlignment="true">
      <alignment horizontal="left" indent="1" justifyLastLine="true" shrinkToFit="true" vertical="center" wrapText="true"/>
    </xf>
    <xf numFmtId="0" fontId="39" fillId="0" borderId="25" xfId="19" applyFont="true" applyBorder="true" applyAlignment="true">
      <alignment horizontal="left" indent="1" justifyLastLine="true" shrinkToFit="true" vertical="center" wrapText="true"/>
    </xf>
    <xf numFmtId="0" fontId="38" fillId="4" borderId="0" xfId="0" applyFont="true" applyFill="true" applyAlignment="true">
      <alignment horizontal="right" vertical="top"/>
    </xf>
    <xf numFmtId="0" fontId="38" fillId="4" borderId="0" xfId="18" applyFont="true" applyFill="true" applyBorder="true" applyAlignment="true">
      <alignment horizontal="left" vertical="center"/>
    </xf>
    <xf numFmtId="0" fontId="21" fillId="2" borderId="3" xfId="0" applyFont="true" applyBorder="true" applyAlignment="true">
      <alignment horizontal="center" vertical="center" wrapText="true"/>
    </xf>
    <xf numFmtId="0" fontId="41" fillId="2" borderId="0" xfId="0" applyFont="true">
      <alignment vertical="center" wrapText="true"/>
    </xf>
    <xf numFmtId="9" fontId="42" fillId="4" borderId="0" xfId="4" applyFont="true" applyFill="true">
      <alignment horizontal="left" vertical="center"/>
    </xf>
    <xf numFmtId="0" fontId="43" fillId="6" borderId="5" xfId="0" applyFont="true" applyFill="true" applyBorder="true" applyAlignment="true">
      <alignment horizontal="center" vertical="center" wrapText="true"/>
    </xf>
    <xf numFmtId="0" fontId="43" fillId="2" borderId="5" xfId="0" applyFont="true" applyBorder="true" applyAlignment="true">
      <alignment horizontal="center" vertical="center" wrapText="true"/>
    </xf>
    <xf numFmtId="0" fontId="43" fillId="6" borderId="3" xfId="0" applyFont="true" applyFill="true" applyBorder="true" applyAlignment="true">
      <alignment horizontal="center" vertical="center" wrapText="true"/>
    </xf>
    <xf numFmtId="0" fontId="43" fillId="2" borderId="3" xfId="0" applyFont="true" applyBorder="true" applyAlignment="true">
      <alignment horizontal="center" vertical="center" wrapText="true"/>
    </xf>
    <xf numFmtId="0" fontId="21" fillId="2" borderId="3" xfId="0" applyFont="true" applyBorder="true">
      <alignment vertical="center" wrapText="true"/>
    </xf>
    <xf numFmtId="0" fontId="21" fillId="2" borderId="26" xfId="0" applyFont="true" applyBorder="true" applyAlignment="true">
      <alignment vertical="center"/>
    </xf>
    <xf numFmtId="0" fontId="21" fillId="2" borderId="26" xfId="0" applyFont="true" applyBorder="true">
      <alignment vertical="center" wrapText="true"/>
    </xf>
    <xf numFmtId="0" fontId="21" fillId="2" borderId="26" xfId="0" applyFont="true" applyBorder="true" applyAlignment="true">
      <alignment horizontal="center" vertical="center" wrapText="true"/>
    </xf>
    <xf numFmtId="37" fontId="21" fillId="2" borderId="26" xfId="10" applyFont="true" applyFill="true" applyBorder="true" applyAlignment="true">
      <alignment horizontal="left" vertical="center"/>
    </xf>
    <xf numFmtId="0" fontId="38" fillId="4" borderId="0" xfId="18" applyFont="true" applyFill="true" applyBorder="true" applyAlignment="true">
      <alignment horizontal="right"/>
    </xf>
    <xf numFmtId="0" fontId="16" fillId="7" borderId="0" xfId="5" applyFont="true" applyFill="true" applyAlignment="true">
      <alignment horizontal="left" vertical="center"/>
    </xf>
    <xf numFmtId="0" fontId="39" fillId="0" borderId="22" xfId="19" applyFont="true" applyBorder="true" applyAlignment="true">
      <alignment horizontal="left" indent="1" justifyLastLine="true" shrinkToFit="true" vertical="center" wrapText="true"/>
    </xf>
    <xf numFmtId="0" fontId="39" fillId="0" borderId="24" xfId="19" applyFont="true" applyBorder="true" applyAlignment="true">
      <alignment horizontal="left" indent="1" justifyLastLine="true" shrinkToFit="true" vertical="center" wrapText="true"/>
    </xf>
    <xf numFmtId="0" fontId="35" fillId="0" borderId="28" xfId="19" applyFont="true" applyBorder="true" applyAlignment="true">
      <alignment horizontal="center" justifyLastLine="true" shrinkToFit="true" vertical="center" wrapText="true"/>
    </xf>
    <xf numFmtId="0" fontId="28" fillId="0" borderId="29" xfId="19" applyFont="true" applyBorder="true" applyAlignment="true">
      <alignment horizontal="left" indent="1" justifyLastLine="true" shrinkToFit="true" vertical="center" wrapText="true"/>
    </xf>
    <xf numFmtId="0" fontId="28" fillId="0" borderId="30" xfId="19" applyFont="true" applyBorder="true" applyAlignment="true">
      <alignment horizontal="left" indent="1" justifyLastLine="true" shrinkToFit="true" vertical="center" wrapText="true"/>
    </xf>
    <xf numFmtId="0" fontId="26" fillId="6" borderId="3" xfId="0" applyFont="true" applyFill="true" applyBorder="true" applyAlignment="true">
      <alignment horizontal="left" vertical="center" wrapText="true"/>
    </xf>
    <xf numFmtId="0" fontId="26" fillId="2" borderId="3" xfId="0" applyFont="true" applyBorder="true" applyAlignment="true">
      <alignment horizontal="left" vertical="center" wrapText="true"/>
    </xf>
    <xf numFmtId="0" fontId="22" fillId="4" borderId="8" xfId="13" applyFont="true" applyFill="true" applyBorder="true" applyAlignment="true">
      <alignment horizontal="right" vertical="center" wrapText="true"/>
    </xf>
    <xf numFmtId="0" fontId="22" fillId="4" borderId="8" xfId="13" applyFont="true" applyFill="true" applyBorder="true" applyAlignment="true">
      <alignment horizontal="center" vertical="center" wrapText="true"/>
    </xf>
    <xf numFmtId="0" fontId="26" fillId="6" borderId="10" xfId="0" applyFont="true" applyFill="true" applyBorder="true" applyAlignment="true">
      <alignment horizontal="left" vertical="center" wrapText="true"/>
    </xf>
    <xf numFmtId="0" fontId="0" fillId="2" borderId="0" xfId="0">
      <alignment vertical="center" wrapText="true"/>
    </xf>
    <xf numFmtId="0" fontId="0" fillId="2" borderId="0" xfId="0" applyAlignment="true">
      <alignment horizontal="center" vertical="center" wrapText="true"/>
    </xf>
    <xf numFmtId="0" fontId="40" fillId="2" borderId="26" xfId="0" applyFont="true" applyBorder="true" applyAlignment="true">
      <alignment horizontal="right" vertical="center"/>
    </xf>
    <xf numFmtId="0" fontId="0" fillId="2" borderId="27" xfId="0" applyBorder="true">
      <alignment vertical="center" wrapText="true"/>
    </xf>
    <xf numFmtId="0" fontId="26" fillId="6" borderId="5" xfId="0" applyFont="true" applyFill="true" applyBorder="true" applyAlignment="true">
      <alignment horizontal="left" vertical="center" wrapText="true"/>
    </xf>
    <xf numFmtId="0" fontId="44" fillId="2" borderId="3" xfId="0" applyFont="true" applyBorder="true" applyAlignment="true">
      <alignment horizontal="right" wrapText="true"/>
    </xf>
    <xf numFmtId="0" fontId="45" fillId="4" borderId="6" xfId="13" applyFont="true" applyFill="true" applyBorder="true" applyAlignment="true">
      <alignment horizontal="right" vertical="center" wrapText="true"/>
    </xf>
    <xf numFmtId="0" fontId="45" fillId="4" borderId="7" xfId="13" applyFont="true" applyFill="true" applyBorder="true" applyAlignment="true">
      <alignment horizontal="right" vertical="center" wrapText="true"/>
    </xf>
    <xf numFmtId="7" fontId="45" fillId="4" borderId="6" xfId="11" applyFont="true" applyFill="true" applyBorder="true" applyAlignment="true">
      <alignment horizontal="right" vertical="center" wrapText="true"/>
    </xf>
    <xf numFmtId="7" fontId="45" fillId="4" borderId="7" xfId="11" applyFont="true" applyFill="true" applyBorder="true" applyAlignment="true">
      <alignment horizontal="right" vertical="center" wrapText="true"/>
    </xf>
    <xf numFmtId="0" fontId="45" fillId="4" borderId="7" xfId="13" applyNumberFormat="true" applyFont="true" applyFill="true" applyBorder="true" applyAlignment="true">
      <alignment horizontal="right" vertical="center" wrapText="true"/>
    </xf>
    <xf numFmtId="0" fontId="46" fillId="9" borderId="0" xfId="0" applyFont="true" applyFill="true" applyAlignment="true">
      <alignment horizontal="left" justifyLastLine="true" shrinkToFit="true" vertical="center" wrapText="true"/>
    </xf>
    <xf numFmtId="0" fontId="46" fillId="10" borderId="0" xfId="0" applyFont="true" applyFill="true" applyAlignment="true">
      <alignment horizontal="left" justifyLastLine="true" shrinkToFit="true" vertical="center" wrapText="true"/>
    </xf>
    <xf numFmtId="0" fontId="46" fillId="11" borderId="0" xfId="0" applyFont="true" applyFill="true" applyAlignment="true">
      <alignment horizontal="left" justifyLastLine="true" shrinkToFit="true" vertical="center" wrapText="true"/>
    </xf>
  </cellXfs>
  <cellStyles count="20">
    <cellStyle name="20% - 着色 4" xfId="16" builtinId="42"/>
    <cellStyle name="Budget labels" xfId="13"/>
    <cellStyle name="Done" xfId="12"/>
    <cellStyle name="Title 2" xfId="17"/>
    <cellStyle name="zHide text" xfId="6"/>
    <cellStyle name="千位分隔" xfId="10" builtinId="3" customBuiltin="true"/>
    <cellStyle name="已访问的超链接" xfId="15" builtinId="9" customBuiltin="true"/>
    <cellStyle name="常规" xfId="0" builtinId="0" customBuiltin="true"/>
    <cellStyle name="常规 2" xfId="19"/>
    <cellStyle name="标题" xfId="5" builtinId="15" customBuiltin="true"/>
    <cellStyle name="标题 1" xfId="1" builtinId="16" customBuiltin="true"/>
    <cellStyle name="标题 2" xfId="2" builtinId="17" customBuiltin="true"/>
    <cellStyle name="标题 3" xfId="7" builtinId="18" customBuiltin="true"/>
    <cellStyle name="标题 4" xfId="8" builtinId="19" customBuiltin="true"/>
    <cellStyle name="汇总" xfId="9" builtinId="25" customBuiltin="true"/>
    <cellStyle name="百分比" xfId="4" builtinId="5" customBuiltin="true"/>
    <cellStyle name="解释性文本" xfId="18" builtinId="53" customBuiltin="true"/>
    <cellStyle name="货币" xfId="3" builtinId="4" customBuiltin="true"/>
    <cellStyle name="货币[0]" xfId="11" builtinId="7" customBuiltin="true"/>
    <cellStyle name="超链接" xfId="14" builtinId="8" customBuiltin="true"/>
  </cellStyles>
  <dxfs count="5">
    <dxf>
      <font>
        <color theme="4" tint="-0.249946592608417"/>
      </font>
      <border>
        <bottom style="thin">
          <color theme="4"/>
        </bottom>
        <vertical/>
        <horizontal/>
      </border>
    </dxf>
    <dxf>
      <font>
        <color theme="4" tint="-0.249946592608417"/>
      </font>
      <fill>
        <patternFill patternType="none">
          <bgColor auto="true"/>
        </patternFill>
      </fill>
      <border>
        <left style="thin">
          <color theme="4"/>
        </left>
        <right style="thin">
          <color theme="4"/>
        </right>
        <top style="thin">
          <color theme="4"/>
        </top>
        <bottom style="thin">
          <color theme="4"/>
        </bottom>
        <vertical/>
        <horizontal/>
      </border>
    </dxf>
    <dxf>
      <font>
        <b val="0"/>
        <i val="0"/>
      </font>
      <fill>
        <patternFill patternType="solid">
          <fgColor theme="0" tint="-0.14993743705557422"/>
          <bgColor theme="0" tint="-0.0499893185216834"/>
        </patternFill>
      </fill>
    </dxf>
    <dxf>
      <font>
        <b val="1"/>
        <i val="0"/>
      </font>
      <fill>
        <patternFill patternType="none">
          <bgColor auto="true"/>
        </patternFill>
      </fill>
      <border>
        <top/>
        <bottom style="thick">
          <color theme="2" tint="-0.499984740745262"/>
        </bottom>
      </border>
    </dxf>
    <dxf>
      <font>
        <b val="0"/>
        <i val="0"/>
        <color theme="1"/>
      </font>
      <border>
        <left/>
        <right/>
        <top style="dotted">
          <color theme="2" tint="-0.499984740745262"/>
        </top>
        <bottom style="dotted">
          <color theme="2" tint="-0.499984740745262"/>
        </bottom>
        <vertical/>
        <horizontal style="dotted">
          <color theme="2" tint="-0.499984740745262"/>
        </horizontal>
      </border>
    </dxf>
  </dxfs>
  <tableStyles count="2" defaultPivotStyle="PivotStyleLight16" defaultTableStyle="TableStyleMedium2">
    <tableStyle name="College Checklist" pivot="0" count="3">
      <tableStyleElement type="wholeTable" dxfId="4"/>
      <tableStyleElement type="headerRow" dxfId="3"/>
      <tableStyleElement type="firstRowStripe" dxfId="2"/>
    </tableStyle>
    <tableStyle name="Shopping List" pivot="0" count="10">
      <tableStyleElement type="wholeTable" dxfId="1"/>
      <tableStyleElement type="headerRow" dxfId="0"/>
    </tableStyle>
  </tableStyles>
  <colors>
    <mruColors>
      <color rgb="FFEAEAEA"/>
      <color rgb="FFBE1F16"/>
      <color rgb="FF0066FF"/>
      <color rgb="FFF2543A"/>
      <color rgb="FFD8EFF1"/>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hopping List">
        <x14:slicerStyle name="Shopping List">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metadata.xml" Type="http://schemas.openxmlformats.org/officeDocument/2006/relationships/sheetMetadata"></Relationship><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12" Target="../customXml/item3.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11" Target="../customXml/item2.xml" Type="http://schemas.openxmlformats.org/officeDocument/2006/relationships/customXml"></Relationship><Relationship Id="rId5" Target="theme/theme1.xml" Type="http://schemas.openxmlformats.org/officeDocument/2006/relationships/theme"></Relationship><Relationship Id="rId10" Target="../customXml/item1.xml" Type="http://schemas.openxmlformats.org/officeDocument/2006/relationships/customXml"></Relationship><Relationship Id="rId4" Target="worksheets/sheet4.xml" Type="http://schemas.openxmlformats.org/officeDocument/2006/relationships/worksheet"></Relationship><Relationship Id="rId9" Target="calcChain.xml" Type="http://schemas.openxmlformats.org/officeDocument/2006/relationships/calcChain"></Relationship></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6786409381665122E-2"/>
          <c:y val="0.25048243969503814"/>
          <c:w val="0.90471623009879287"/>
          <c:h val="0.39820022497187851"/>
        </c:manualLayout>
      </c:layout>
      <c:barChart>
        <c:barDir val="bar"/>
        <c:grouping val="clustered"/>
        <c:varyColors val="0"/>
        <c:ser>
          <c:idx val="0"/>
          <c:order val="0"/>
          <c:tx>
            <c:strRef>
              <c:f>HealthReport!$A$1</c:f>
              <c:strCache>
                <c:ptCount val="1"/>
              </c:strCache>
            </c:strRef>
          </c:tx>
          <c:spPr>
            <a:solidFill>
              <a:schemeClr val="accent4">
                <a:lumMod val="75000"/>
              </a:schemeClr>
            </a:solidFill>
            <a:ln>
              <a:noFill/>
            </a:ln>
            <a:effectLst/>
          </c:spPr>
          <c:invertIfNegative val="0"/>
          <c:dPt>
            <c:idx val="0"/>
            <c:invertIfNegative val="0"/>
            <c:bubble3D val="0"/>
            <c:spPr>
              <a:solidFill>
                <a:schemeClr val="bg2">
                  <a:lumMod val="50000"/>
                </a:schemeClr>
              </a:solidFill>
              <a:ln>
                <a:noFill/>
              </a:ln>
              <a:effectLst/>
            </c:spPr>
            <c:extLst>
              <c:ext xmlns:c16="http://schemas.microsoft.com/office/drawing/2014/chart" uri="{C3380CC4-5D6E-409C-BE32-E72D297353CC}">
                <c16:uniqueId val="{00000001-129A-442B-AB08-6F070EE98C93}"/>
              </c:ext>
            </c:extLst>
          </c:dPt>
          <c:dLbls>
            <c:dLbl>
              <c:idx val="0"/>
              <c:layout>
                <c:manualLayout>
                  <c:x val="-0.10545777809832947"/>
                  <c:y val="-7.886219855390288E-3"/>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rgbClr val="BE1F16"/>
                      </a:solidFill>
                      <a:latin typeface="+mn-lt"/>
                      <a:ea typeface="+mn-ea"/>
                      <a:cs typeface="+mn-cs"/>
                    </a:defRPr>
                  </a:pPr>
                  <a:endParaRPr lang="zh-CN"/>
                </a:p>
              </c:txPr>
              <c:showLegendKey val="0"/>
              <c:showVal val="1"/>
              <c:showCatName val="0"/>
              <c:showSerName val="0"/>
              <c:showPercent val="0"/>
              <c:showBubbleSize val="0"/>
              <c:extLst>
                <c:ext xmlns:c15="http://schemas.microsoft.com/office/drawing/2012/chart" uri="{CE6537A1-D6FC-4f65-9D91-7224C49458BB}">
                  <c15:layout>
                    <c:manualLayout>
                      <c:w val="0.11051975144704917"/>
                      <c:h val="0.42561990655760917"/>
                    </c:manualLayout>
                  </c15:layout>
                </c:ext>
                <c:ext xmlns:c16="http://schemas.microsoft.com/office/drawing/2014/chart" uri="{C3380CC4-5D6E-409C-BE32-E72D297353CC}">
                  <c16:uniqueId val="{00000001-129A-442B-AB08-6F070EE98C9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HealthReport!$L$12</c:f>
              <c:numCache>
                <c:formatCode>0%</c:formatCode>
                <c:ptCount val="1"/>
              </c:numCache>
            </c:numRef>
          </c:cat>
          <c:val>
            <c:numRef>
              <c:f>HealthReport!$L$14</c:f>
              <c:numCache>
                <c:formatCode>0%</c:formatCode>
                <c:ptCount val="1"/>
                <c:pt idx="0">
                  <c:v>0.96666666666666667</c:v>
                </c:pt>
              </c:numCache>
            </c:numRef>
          </c:val>
          <c:extLst>
            <c:ext xmlns:c16="http://schemas.microsoft.com/office/drawing/2014/chart" uri="{C3380CC4-5D6E-409C-BE32-E72D297353CC}">
              <c16:uniqueId val="{00000002-129A-442B-AB08-6F070EE98C93}"/>
            </c:ext>
          </c:extLst>
        </c:ser>
        <c:dLbls>
          <c:showLegendKey val="0"/>
          <c:showVal val="0"/>
          <c:showCatName val="0"/>
          <c:showSerName val="0"/>
          <c:showPercent val="0"/>
          <c:showBubbleSize val="0"/>
        </c:dLbls>
        <c:gapWidth val="7"/>
        <c:axId val="564033872"/>
        <c:axId val="564033480"/>
      </c:barChart>
      <c:valAx>
        <c:axId val="564033480"/>
        <c:scaling>
          <c:orientation val="minMax"/>
          <c:max val="1"/>
          <c:min val="0"/>
        </c:scaling>
        <c:delete val="0"/>
        <c:axPos val="b"/>
        <c:numFmt formatCode="0%"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100" b="0" i="1" u="none" strike="noStrike" kern="1200" baseline="0">
                <a:solidFill>
                  <a:schemeClr val="tx1"/>
                </a:solidFill>
                <a:latin typeface="+mn-lt"/>
                <a:ea typeface="+mn-ea"/>
                <a:cs typeface="+mn-cs"/>
              </a:defRPr>
            </a:pPr>
            <a:endParaRPr lang="zh-CN"/>
          </a:p>
        </c:txPr>
        <c:crossAx val="564033872"/>
        <c:crosses val="autoZero"/>
        <c:crossBetween val="between"/>
        <c:majorUnit val="0.25"/>
      </c:valAx>
      <c:catAx>
        <c:axId val="564033872"/>
        <c:scaling>
          <c:orientation val="minMax"/>
        </c:scaling>
        <c:delete val="1"/>
        <c:axPos val="l"/>
        <c:numFmt formatCode="0%" sourceLinked="1"/>
        <c:majorTickMark val="none"/>
        <c:minorTickMark val="none"/>
        <c:tickLblPos val="nextTo"/>
        <c:crossAx val="564033480"/>
        <c:crosses val="autoZero"/>
        <c:auto val="1"/>
        <c:lblAlgn val="ctr"/>
        <c:lblOffset val="100"/>
        <c:noMultiLvlLbl val="0"/>
      </c:catAx>
      <c:spPr>
        <a:noFill/>
        <a:ln w="25400" cap="flat">
          <a:solidFill>
            <a:schemeClr val="tx1">
              <a:alpha val="99000"/>
            </a:schemeClr>
          </a:solidFill>
          <a:round/>
        </a:ln>
        <a:effectLst/>
      </c:spPr>
    </c:plotArea>
    <c:plotVisOnly val="1"/>
    <c:dispBlanksAs val="gap"/>
    <c:showDLblsOverMax val="0"/>
  </c:chart>
  <c:spPr>
    <a:noFill/>
    <a:ln w="9525" cap="flat" cmpd="sng" algn="ctr">
      <a:noFill/>
      <a:round/>
    </a:ln>
    <a:effectLst/>
  </c:spPr>
  <c:txPr>
    <a:bodyPr/>
    <a:lstStyle/>
    <a:p>
      <a:pPr>
        <a:defRPr/>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gradFill flip="none" rotWithShape="1">
          <a:gsLst>
            <a:gs pos="34000">
              <a:schemeClr val="tx2">
                <a:lumMod val="10000"/>
                <a:lumOff val="90000"/>
              </a:schemeClr>
            </a:gs>
            <a:gs pos="0">
              <a:schemeClr val="bg1">
                <a:lumMod val="85000"/>
              </a:schemeClr>
            </a:gs>
            <a:gs pos="100000">
              <a:schemeClr val="bg1">
                <a:lumMod val="75000"/>
              </a:schemeClr>
            </a:gs>
          </a:gsLst>
          <a:path path="shape">
            <a:fillToRect l="50000" t="50000" r="50000" b="50000"/>
          </a:path>
          <a:tileRect/>
        </a:gradFill>
        <a:ln w="9525">
          <a:noFill/>
        </a:ln>
        <a:effectLst/>
        <a:sp3d/>
      </c:spPr>
    </c:sideWall>
    <c:backWall>
      <c:thickness val="0"/>
      <c:spPr>
        <a:gradFill flip="none" rotWithShape="1">
          <a:gsLst>
            <a:gs pos="34000">
              <a:schemeClr val="tx2">
                <a:lumMod val="10000"/>
                <a:lumOff val="90000"/>
              </a:schemeClr>
            </a:gs>
            <a:gs pos="0">
              <a:schemeClr val="bg1">
                <a:lumMod val="85000"/>
              </a:schemeClr>
            </a:gs>
            <a:gs pos="100000">
              <a:schemeClr val="bg1">
                <a:lumMod val="75000"/>
              </a:schemeClr>
            </a:gs>
          </a:gsLst>
          <a:path path="shape">
            <a:fillToRect l="50000" t="50000" r="50000" b="50000"/>
          </a:path>
          <a:tileRect/>
        </a:gradFill>
        <a:ln w="9525">
          <a:solidFill>
            <a:schemeClr val="tx1"/>
          </a:solidFill>
        </a:ln>
        <a:effectLst/>
        <a:sp3d contourW="9525">
          <a:contourClr>
            <a:schemeClr val="tx1"/>
          </a:contourClr>
        </a:sp3d>
      </c:spPr>
    </c:backWall>
    <c:plotArea>
      <c:layout>
        <c:manualLayout>
          <c:layoutTarget val="inner"/>
          <c:xMode val="edge"/>
          <c:yMode val="edge"/>
          <c:x val="0.27374442229583901"/>
          <c:y val="5.1366979378933877E-2"/>
          <c:w val="0.66862974927011976"/>
          <c:h val="0.73348296065002583"/>
        </c:manualLayout>
      </c:layout>
      <c:bar3DChart>
        <c:barDir val="bar"/>
        <c:grouping val="stacked"/>
        <c:varyColors val="0"/>
        <c:ser>
          <c:idx val="0"/>
          <c:order val="0"/>
          <c:tx>
            <c:strRef>
              <c:f>HealthReport!$D$14</c:f>
              <c:strCache>
                <c:ptCount val="1"/>
                <c:pt idx="0">
                  <c:v>重要</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HealthReport!$C$15:$C$24</c:f>
              <c:strCache>
                <c:ptCount val="10"/>
                <c:pt idx="0">
                  <c:v>主机系统</c:v>
                </c:pt>
                <c:pt idx="1">
                  <c:v>数据库分析</c:v>
                </c:pt>
                <c:pt idx="2">
                  <c:v>实例分析</c:v>
                </c:pt>
                <c:pt idx="3">
                  <c:v>数据库性能</c:v>
                </c:pt>
                <c:pt idx="4">
                  <c:v>数据库集群</c:v>
                </c:pt>
                <c:pt idx="5">
                  <c:v>DataGuard</c:v>
                </c:pt>
                <c:pt idx="6">
                  <c:v>数据库备份</c:v>
                </c:pt>
                <c:pt idx="7">
                  <c:v>数据库安全</c:v>
                </c:pt>
                <c:pt idx="8">
                  <c:v>软件使用</c:v>
                </c:pt>
                <c:pt idx="9">
                  <c:v>其他项检查</c:v>
                </c:pt>
              </c:strCache>
            </c:strRef>
          </c:cat>
          <c:val>
            <c:numRef>
              <c:f>HealthReport!$D$15:$D$24</c:f>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8CB5-422E-B41C-38AD1D946952}"/>
            </c:ext>
          </c:extLst>
        </c:ser>
        <c:ser>
          <c:idx val="1"/>
          <c:order val="1"/>
          <c:tx>
            <c:strRef>
              <c:f>HealthReport!$E$14</c:f>
              <c:strCache>
                <c:ptCount val="1"/>
                <c:pt idx="0">
                  <c:v>普通</c:v>
                </c:pt>
              </c:strCache>
            </c:strRef>
          </c:tx>
          <c:spPr>
            <a:solidFill>
              <a:srgbClr val="0070C0"/>
            </a:solidFill>
            <a:ln>
              <a:solidFill>
                <a:srgbClr val="0070C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contourClr>
                <a:srgbClr val="0070C0"/>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HealthReport!$C$15:$C$24</c:f>
              <c:strCache>
                <c:ptCount val="10"/>
                <c:pt idx="0">
                  <c:v>主机系统</c:v>
                </c:pt>
                <c:pt idx="1">
                  <c:v>数据库分析</c:v>
                </c:pt>
                <c:pt idx="2">
                  <c:v>实例分析</c:v>
                </c:pt>
                <c:pt idx="3">
                  <c:v>数据库性能</c:v>
                </c:pt>
                <c:pt idx="4">
                  <c:v>数据库集群</c:v>
                </c:pt>
                <c:pt idx="5">
                  <c:v>DataGuard</c:v>
                </c:pt>
                <c:pt idx="6">
                  <c:v>数据库备份</c:v>
                </c:pt>
                <c:pt idx="7">
                  <c:v>数据库安全</c:v>
                </c:pt>
                <c:pt idx="8">
                  <c:v>软件使用</c:v>
                </c:pt>
                <c:pt idx="9">
                  <c:v>其他项检查</c:v>
                </c:pt>
              </c:strCache>
            </c:strRef>
          </c:cat>
          <c:val>
            <c:numRef>
              <c:f>HealthReport!$E$15:$E$24</c:f>
              <c:numCache>
                <c:formatCode>General</c:formatCode>
                <c:ptCount val="10"/>
                <c:pt idx="0">
                  <c:v>1</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1-8CB5-422E-B41C-38AD1D946952}"/>
            </c:ext>
          </c:extLst>
        </c:ser>
        <c:ser>
          <c:idx val="2"/>
          <c:order val="2"/>
          <c:tx>
            <c:strRef>
              <c:f>HealthReport!$F$14</c:f>
              <c:strCache>
                <c:ptCount val="1"/>
                <c:pt idx="0">
                  <c:v>轻微</c:v>
                </c:pt>
              </c:strCache>
            </c:strRef>
          </c:tx>
          <c:spPr>
            <a:solidFill>
              <a:srgbClr val="00B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HealthReport!$C$15:$C$24</c:f>
              <c:strCache>
                <c:ptCount val="10"/>
                <c:pt idx="0">
                  <c:v>主机系统</c:v>
                </c:pt>
                <c:pt idx="1">
                  <c:v>数据库分析</c:v>
                </c:pt>
                <c:pt idx="2">
                  <c:v>实例分析</c:v>
                </c:pt>
                <c:pt idx="3">
                  <c:v>数据库性能</c:v>
                </c:pt>
                <c:pt idx="4">
                  <c:v>数据库集群</c:v>
                </c:pt>
                <c:pt idx="5">
                  <c:v>DataGuard</c:v>
                </c:pt>
                <c:pt idx="6">
                  <c:v>数据库备份</c:v>
                </c:pt>
                <c:pt idx="7">
                  <c:v>数据库安全</c:v>
                </c:pt>
                <c:pt idx="8">
                  <c:v>软件使用</c:v>
                </c:pt>
                <c:pt idx="9">
                  <c:v>其他项检查</c:v>
                </c:pt>
              </c:strCache>
            </c:strRef>
          </c:cat>
          <c:val>
            <c:numRef>
              <c:f>HealthReport!$F$15:$F$24</c:f>
              <c:numCache>
                <c:formatCode>General</c:formatCode>
                <c:ptCount val="10"/>
                <c:pt idx="0">
                  <c:v>1</c:v>
                </c:pt>
                <c:pt idx="1">
                  <c:v>0</c:v>
                </c:pt>
                <c:pt idx="2">
                  <c:v>1</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2-8CB5-422E-B41C-38AD1D946952}"/>
            </c:ext>
          </c:extLst>
        </c:ser>
        <c:dLbls>
          <c:showLegendKey val="0"/>
          <c:showVal val="0"/>
          <c:showCatName val="0"/>
          <c:showSerName val="0"/>
          <c:showPercent val="0"/>
          <c:showBubbleSize val="0"/>
        </c:dLbls>
        <c:gapWidth val="65"/>
        <c:gapDepth val="390"/>
        <c:shape val="box"/>
        <c:axId val="984238799"/>
        <c:axId val="984241679"/>
        <c:axId val="0"/>
      </c:bar3DChart>
      <c:catAx>
        <c:axId val="9842387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0"/>
          <a:lstStyle/>
          <a:p>
            <a:pPr>
              <a:defRPr sz="900" b="0" i="0" u="none" strike="noStrike" kern="1200" baseline="0">
                <a:ln>
                  <a:noFill/>
                </a:ln>
                <a:solidFill>
                  <a:schemeClr val="tx1"/>
                </a:solidFill>
                <a:latin typeface="+mn-lt"/>
                <a:ea typeface="+mn-ea"/>
                <a:cs typeface="+mn-cs"/>
              </a:defRPr>
            </a:pPr>
            <a:endParaRPr lang="zh-CN"/>
          </a:p>
        </c:txPr>
        <c:crossAx val="984241679"/>
        <c:crosses val="autoZero"/>
        <c:auto val="1"/>
        <c:lblAlgn val="l"/>
        <c:lblOffset val="100"/>
        <c:noMultiLvlLbl val="0"/>
      </c:catAx>
      <c:valAx>
        <c:axId val="984241679"/>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zh-CN"/>
          </a:p>
        </c:txPr>
        <c:crossAx val="9842387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26000">
          <a:schemeClr val="bg1">
            <a:lumMod val="65000"/>
          </a:schemeClr>
        </a:gs>
        <a:gs pos="0">
          <a:schemeClr val="bg1">
            <a:lumMod val="65000"/>
          </a:schemeClr>
        </a:gs>
        <a:gs pos="98000">
          <a:schemeClr val="tx1">
            <a:lumMod val="50000"/>
            <a:lumOff val="50000"/>
          </a:schemeClr>
        </a:gs>
      </a:gsLst>
      <a:path path="circle">
        <a:fillToRect l="50000" t="50000" r="50000" b="50000"/>
      </a:path>
      <a:tileRect/>
    </a:gradFill>
    <a:ln>
      <a:noFill/>
    </a:ln>
    <a:effectLst/>
  </c:spPr>
  <c:txPr>
    <a:bodyPr/>
    <a:lstStyle/>
    <a:p>
      <a:pPr>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4" Type="http://schemas.openxmlformats.org/officeDocument/2006/relationships/image" Target="../media/image2.jpe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editAs="oneCell">
    <xdr:from>
      <xdr:col>9</xdr:col>
      <xdr:colOff>227337</xdr:colOff>
      <xdr:row>0</xdr:row>
      <xdr:rowOff>170649</xdr:rowOff>
    </xdr:from>
    <xdr:to>
      <xdr:col>10</xdr:col>
      <xdr:colOff>1167243</xdr:colOff>
      <xdr:row>0</xdr:row>
      <xdr:rowOff>843114</xdr:rowOff>
    </xdr:to>
    <xdr:pic>
      <xdr:nvPicPr>
        <xdr:cNvPr id="4" name="图片 3">
          <a:extLst>
            <a:ext uri="{FF2B5EF4-FFF2-40B4-BE49-F238E27FC236}">
              <a16:creationId xmlns:a16="http://schemas.microsoft.com/office/drawing/2014/main" id="{EFC97509-69C0-FE95-1924-B7AB136F50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21533" y="170649"/>
          <a:ext cx="1977111" cy="672465"/>
        </a:xfrm>
        <a:prstGeom prst="rect">
          <a:avLst/>
        </a:prstGeom>
      </xdr:spPr>
    </xdr:pic>
    <xdr:clientData/>
  </xdr:twoCellAnchor>
  <xdr:twoCellAnchor editAs="oneCell">
    <xdr:from>
      <xdr:col>6</xdr:col>
      <xdr:colOff>368949</xdr:colOff>
      <xdr:row>12</xdr:row>
      <xdr:rowOff>269761</xdr:rowOff>
    </xdr:from>
    <xdr:to>
      <xdr:col>10</xdr:col>
      <xdr:colOff>986518</xdr:colOff>
      <xdr:row>14</xdr:row>
      <xdr:rowOff>309562</xdr:rowOff>
    </xdr:to>
    <xdr:graphicFrame>
      <xdr:nvGraphicFramePr>
        <xdr:cNvPr id="5" name="Progress chart" descr="Progress bar depicting purchasing progress">
          <a:extLst>
            <a:ext uri="{FF2B5EF4-FFF2-40B4-BE49-F238E27FC236}">
              <a16:creationId xmlns:a16="http://schemas.microsoft.com/office/drawing/2014/main" id="{C6FDBF44-3117-44D3-86FB-4212B72B1B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219542</xdr:colOff>
      <xdr:row>15</xdr:row>
      <xdr:rowOff>107122</xdr:rowOff>
    </xdr:from>
    <xdr:to>
      <xdr:col>10</xdr:col>
      <xdr:colOff>579258</xdr:colOff>
      <xdr:row>24</xdr:row>
      <xdr:rowOff>159768</xdr:rowOff>
    </xdr:to>
    <xdr:graphicFrame>
      <xdr:nvGraphicFramePr>
        <xdr:cNvPr id="11" name="图表 10">
          <a:extLst>
            <a:ext uri="{FF2B5EF4-FFF2-40B4-BE49-F238E27FC236}">
              <a16:creationId xmlns:a16="http://schemas.microsoft.com/office/drawing/2014/main" id="{D8602FE4-E55F-EAAD-F8DB-942A483D70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76268</xdr:colOff>
      <xdr:row>52</xdr:row>
      <xdr:rowOff>294074</xdr:rowOff>
    </xdr:from>
    <xdr:to>
      <xdr:col>10</xdr:col>
      <xdr:colOff>259557</xdr:colOff>
      <xdr:row>53</xdr:row>
      <xdr:rowOff>487001</xdr:rowOff>
    </xdr:to>
    <xdr:sp>
      <xdr:nvSpPr>
        <xdr:cNvPr id="6" name="文本框 48">
          <a:extLst>
            <a:ext uri="{FF2B5EF4-FFF2-40B4-BE49-F238E27FC236}">
              <a16:creationId xmlns:a16="http://schemas.microsoft.com/office/drawing/2014/main" id="{72167FE8-EBB2-4548-8574-8C7B5D21C9E1}"/>
            </a:ext>
          </a:extLst>
        </xdr:cNvPr>
        <xdr:cNvSpPr txBox="1"/>
      </xdr:nvSpPr>
      <xdr:spPr>
        <a:xfrm>
          <a:off x="5438843" y="35060324"/>
          <a:ext cx="3783739" cy="697752"/>
        </a:xfrm>
        <a:prstGeom prst="rect">
          <a:avLst/>
        </a:prstGeom>
        <a:noFill/>
        <a:ln>
          <a:noFill/>
        </a:ln>
        <a:effec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noAutofit/>
        </a:bodyPr>
        <a:lstStyle/>
        <a:p>
          <a:pPr algn="just">
            <a:buNone/>
          </a:pPr>
          <a:r>
            <a:rPr lang="zh-CN" sz="900" kern="100">
              <a:solidFill>
                <a:srgbClr val="404040"/>
              </a:solidFill>
              <a:effectLst/>
              <a:latin typeface="Arial Narrow" panose="020B0606020202030204" pitchFamily="34" charset="0"/>
              <a:ea typeface="微软雅黑" panose="020B0503020204020204" pitchFamily="34" charset="-122"/>
              <a:cs typeface="Times New Roman" panose="02020603050405020304" pitchFamily="18" charset="0"/>
            </a:rPr>
            <a:t>电话：</a:t>
          </a:r>
          <a:r>
            <a:rPr lang="en-US" sz="900" kern="100">
              <a:solidFill>
                <a:srgbClr val="404040"/>
              </a:solidFill>
              <a:effectLst/>
              <a:latin typeface="Arial Narrow" panose="020B0606020202030204" pitchFamily="34" charset="0"/>
              <a:ea typeface="微软雅黑" panose="020B0503020204020204" pitchFamily="34" charset="-122"/>
              <a:cs typeface="Times New Roman" panose="02020603050405020304" pitchFamily="18" charset="0"/>
            </a:rPr>
            <a:t>010-82838118</a:t>
          </a:r>
          <a:endParaRPr lang="zh-CN" sz="1050" kern="100">
            <a:effectLst/>
            <a:latin typeface="Times New Roman" panose="02020603050405020304" pitchFamily="18" charset="0"/>
            <a:ea typeface="宋体" panose="02010600030101010101" pitchFamily="2" charset="-122"/>
            <a:cs typeface="Times New Roman" panose="02020603050405020304" pitchFamily="18" charset="0"/>
          </a:endParaRPr>
        </a:p>
        <a:p>
          <a:pPr algn="just">
            <a:buNone/>
          </a:pPr>
          <a:r>
            <a:rPr lang="zh-CN" sz="900" kern="100">
              <a:solidFill>
                <a:srgbClr val="404040"/>
              </a:solidFill>
              <a:effectLst/>
              <a:latin typeface="Arial Narrow" panose="020B0606020202030204" pitchFamily="34" charset="0"/>
              <a:ea typeface="微软雅黑" panose="020B0503020204020204" pitchFamily="34" charset="-122"/>
              <a:cs typeface="Times New Roman" panose="02020603050405020304" pitchFamily="18" charset="0"/>
            </a:rPr>
            <a:t>地址：北京市海淀区学院路</a:t>
          </a:r>
          <a:r>
            <a:rPr lang="en-US" sz="900" kern="100">
              <a:solidFill>
                <a:srgbClr val="404040"/>
              </a:solidFill>
              <a:effectLst/>
              <a:latin typeface="Arial Narrow" panose="020B0606020202030204" pitchFamily="34" charset="0"/>
              <a:ea typeface="微软雅黑" panose="020B0503020204020204" pitchFamily="34" charset="-122"/>
              <a:cs typeface="Times New Roman" panose="02020603050405020304" pitchFamily="18" charset="0"/>
            </a:rPr>
            <a:t>30</a:t>
          </a:r>
          <a:r>
            <a:rPr lang="zh-CN" sz="900" kern="100">
              <a:solidFill>
                <a:srgbClr val="404040"/>
              </a:solidFill>
              <a:effectLst/>
              <a:latin typeface="Arial Narrow" panose="020B0606020202030204" pitchFamily="34" charset="0"/>
              <a:ea typeface="微软雅黑" panose="020B0503020204020204" pitchFamily="34" charset="-122"/>
              <a:cs typeface="Times New Roman" panose="02020603050405020304" pitchFamily="18" charset="0"/>
            </a:rPr>
            <a:t>号科大天工大厦</a:t>
          </a:r>
          <a:r>
            <a:rPr lang="en-US" sz="900" kern="100">
              <a:solidFill>
                <a:srgbClr val="404040"/>
              </a:solidFill>
              <a:effectLst/>
              <a:latin typeface="Arial Narrow" panose="020B0606020202030204" pitchFamily="34" charset="0"/>
              <a:ea typeface="微软雅黑" panose="020B0503020204020204" pitchFamily="34" charset="-122"/>
              <a:cs typeface="Times New Roman" panose="02020603050405020304" pitchFamily="18" charset="0"/>
            </a:rPr>
            <a:t>B</a:t>
          </a:r>
          <a:r>
            <a:rPr lang="zh-CN" sz="900" kern="100">
              <a:solidFill>
                <a:srgbClr val="404040"/>
              </a:solidFill>
              <a:effectLst/>
              <a:latin typeface="Arial Narrow" panose="020B0606020202030204" pitchFamily="34" charset="0"/>
              <a:ea typeface="微软雅黑" panose="020B0503020204020204" pitchFamily="34" charset="-122"/>
              <a:cs typeface="Times New Roman" panose="02020603050405020304" pitchFamily="18" charset="0"/>
            </a:rPr>
            <a:t>座</a:t>
          </a:r>
          <a:r>
            <a:rPr lang="en-US" sz="900" kern="100">
              <a:solidFill>
                <a:srgbClr val="404040"/>
              </a:solidFill>
              <a:effectLst/>
              <a:latin typeface="Arial Narrow" panose="020B0606020202030204" pitchFamily="34" charset="0"/>
              <a:ea typeface="微软雅黑" panose="020B0503020204020204" pitchFamily="34" charset="-122"/>
              <a:cs typeface="Times New Roman" panose="02020603050405020304" pitchFamily="18" charset="0"/>
            </a:rPr>
            <a:t>6</a:t>
          </a:r>
          <a:r>
            <a:rPr lang="zh-CN" sz="900" kern="100">
              <a:solidFill>
                <a:srgbClr val="404040"/>
              </a:solidFill>
              <a:effectLst/>
              <a:latin typeface="Arial Narrow" panose="020B0606020202030204" pitchFamily="34" charset="0"/>
              <a:ea typeface="微软雅黑" panose="020B0503020204020204" pitchFamily="34" charset="-122"/>
              <a:cs typeface="Times New Roman" panose="02020603050405020304" pitchFamily="18" charset="0"/>
            </a:rPr>
            <a:t>层</a:t>
          </a:r>
          <a:endParaRPr lang="zh-CN" sz="1050" kern="100">
            <a:effectLst/>
            <a:latin typeface="Times New Roman" panose="02020603050405020304" pitchFamily="18" charset="0"/>
            <a:ea typeface="宋体" panose="02010600030101010101" pitchFamily="2" charset="-122"/>
            <a:cs typeface="Times New Roman" panose="02020603050405020304" pitchFamily="18" charset="0"/>
          </a:endParaRPr>
        </a:p>
        <a:p>
          <a:pPr algn="just">
            <a:buNone/>
          </a:pPr>
          <a:r>
            <a:rPr lang="zh-CN" sz="900" kern="100">
              <a:solidFill>
                <a:srgbClr val="404040"/>
              </a:solidFill>
              <a:effectLst/>
              <a:latin typeface="Arial Narrow" panose="020B0606020202030204" pitchFamily="34" charset="0"/>
              <a:ea typeface="微软雅黑" panose="020B0503020204020204" pitchFamily="34" charset="-122"/>
              <a:cs typeface="Times New Roman" panose="02020603050405020304" pitchFamily="18" charset="0"/>
            </a:rPr>
            <a:t>官网：</a:t>
          </a:r>
          <a:r>
            <a:rPr lang="en-US" sz="900" kern="100">
              <a:solidFill>
                <a:srgbClr val="404040"/>
              </a:solidFill>
              <a:effectLst/>
              <a:latin typeface="Arial Narrow" panose="020B0606020202030204" pitchFamily="34" charset="0"/>
              <a:ea typeface="微软雅黑" panose="020B0503020204020204" pitchFamily="34" charset="-122"/>
              <a:cs typeface="Times New Roman" panose="02020603050405020304" pitchFamily="18" charset="0"/>
            </a:rPr>
            <a:t>www.vastdata.com.cn</a:t>
          </a:r>
          <a:endParaRPr lang="zh-CN" sz="1050" kern="100">
            <a:effectLst/>
            <a:latin typeface="Times New Roman" panose="02020603050405020304" pitchFamily="18" charset="0"/>
            <a:ea typeface="宋体" panose="02010600030101010101" pitchFamily="2" charset="-122"/>
            <a:cs typeface="Times New Roman" panose="02020603050405020304" pitchFamily="18" charset="0"/>
          </a:endParaRPr>
        </a:p>
      </xdr:txBody>
    </xdr:sp>
    <xdr:clientData/>
  </xdr:twoCellAnchor>
  <xdr:twoCellAnchor editAs="oneCell">
    <xdr:from>
      <xdr:col>4</xdr:col>
      <xdr:colOff>754516</xdr:colOff>
      <xdr:row>52</xdr:row>
      <xdr:rowOff>154101</xdr:rowOff>
    </xdr:from>
    <xdr:to>
      <xdr:col>5</xdr:col>
      <xdr:colOff>660287</xdr:colOff>
      <xdr:row>54</xdr:row>
      <xdr:rowOff>17349</xdr:rowOff>
    </xdr:to>
    <xdr:pic>
      <xdr:nvPicPr>
        <xdr:cNvPr id="7" name="图片 6">
          <a:extLst>
            <a:ext uri="{FF2B5EF4-FFF2-40B4-BE49-F238E27FC236}">
              <a16:creationId xmlns:a16="http://schemas.microsoft.com/office/drawing/2014/main" id="{0DE27EF6-A602-43B8-A511-F38F5B10EF0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flipH="1">
          <a:off x="4193041" y="34920351"/>
          <a:ext cx="867796" cy="872898"/>
        </a:xfrm>
        <a:prstGeom prst="rect">
          <a:avLst/>
        </a:prstGeom>
        <a:noFill/>
        <a:ln>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College Move Checklist">
      <a:dk1>
        <a:srgbClr val="000000"/>
      </a:dk1>
      <a:lt1>
        <a:srgbClr val="FFFFFF"/>
      </a:lt1>
      <a:dk2>
        <a:srgbClr val="3A0F0D"/>
      </a:dk2>
      <a:lt2>
        <a:srgbClr val="FCF7F3"/>
      </a:lt2>
      <a:accent1>
        <a:srgbClr val="E73D36"/>
      </a:accent1>
      <a:accent2>
        <a:srgbClr val="A7B73E"/>
      </a:accent2>
      <a:accent3>
        <a:srgbClr val="FA9E21"/>
      </a:accent3>
      <a:accent4>
        <a:srgbClr val="42ADBA"/>
      </a:accent4>
      <a:accent5>
        <a:srgbClr val="F7D93B"/>
      </a:accent5>
      <a:accent6>
        <a:srgbClr val="8C405E"/>
      </a:accent6>
      <a:hlink>
        <a:srgbClr val="42ADBA"/>
      </a:hlink>
      <a:folHlink>
        <a:srgbClr val="9E6B9C"/>
      </a:folHlink>
    </a:clrScheme>
    <a:fontScheme name="College Move Checklist">
      <a:majorFont>
        <a:latin typeface="Impact"/>
        <a:ea typeface=""/>
        <a:cs typeface=""/>
      </a:majorFont>
      <a:minorFont>
        <a:latin typeface="Corbe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Relationship Id="rId2" Target="../drawings/drawing1.xml" Type="http://schemas.openxmlformats.org/officeDocument/2006/relationships/drawing"></Relationship><Relationship Id="rId1" Target="../printerSettings/printerSettings1.bin" Type="http://schemas.openxmlformats.org/officeDocument/2006/relationships/printerSettings"></Relationship></Relationships>
</file>

<file path=xl/worksheets/_rels/sheet2.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_rels/sheet3.xml.rels><?xml version="1.0" encoding="UTF-8"?>
<Relationships xmlns="http://schemas.openxmlformats.org/package/2006/relationships"><Relationship Id="rId1" Target="../drawings/vmlDrawing2.vml" Type="http://schemas.openxmlformats.org/officeDocument/2006/relationships/vmlDrawing"></Relationship><Relationship Id="rId2" Target="../comments2.xml" Type="http://schemas.openxmlformats.org/officeDocument/2006/relationships/comments"></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2" tint="-0.249977111117893"/>
    <pageSetUpPr fitToPage="true"/>
  </sheetPr>
  <dimension ref="B1:P93"/>
  <sheetViews>
    <sheetView showGridLines="false" tabSelected="true" topLeftCell="A17" zoomScaleNormal="100" zoomScaleSheetLayoutView="100" workbookViewId="0">
      <selection activeCell="J7" sqref="J7:K7"/>
    </sheetView>
  </sheetViews>
  <sheetFormatPr defaultRowHeight="30" customHeight="true"/>
  <cols>
    <col customWidth="true" max="1" min="1" width="11.625"/>
    <col customWidth="true" max="2" min="2" style="14" width="5.25"/>
    <col customWidth="true" max="3" min="3" width="15.625"/>
    <col customWidth="true" max="5" min="4" width="12.625"/>
    <col customWidth="true" max="6" min="6" style="14" width="12.625"/>
    <col customWidth="true" max="7" min="7" width="6.375"/>
    <col customWidth="true" max="8" min="8" width="15.625"/>
    <col customWidth="true" max="9" min="9" width="11.625"/>
    <col customWidth="true" max="10" min="10" width="13.625"/>
    <col customWidth="true" max="11" min="11" width="16.375"/>
    <col customWidth="true" max="12" min="12" width="6.75"/>
    <col customWidth="true" max="13" min="13" width="5.5"/>
  </cols>
  <sheetData>
    <row r="1" spans="2:16" ht="73.5" customHeight="true">
      <c r="B1" s="19"/>
      <c r="C1" s="109" t="s">
        <v>144</v>
      </c>
      <c r="D1" s="20"/>
      <c r="E1" s="20"/>
      <c r="F1" s="23" t="s">
        <v>32</v>
      </c>
      <c r="G1" s="23"/>
      <c r="H1" s="21"/>
      <c r="I1" s="21"/>
      <c r="J1" s="21"/>
      <c r="K1" s="22"/>
      <c r="L1" s="22"/>
    </row>
    <row r="2" spans="2:16" ht="26.25" customHeight="true">
      <c r="B2" s="12"/>
      <c r="C2" s="95" t="s">
        <v>148</v>
      </c>
      <c r="D2" s="2"/>
      <c r="E2" s="2"/>
      <c r="F2" s="84"/>
      <c r="G2" s="2"/>
      <c r="H2" s="2"/>
      <c r="I2" s="2"/>
      <c r="J2" s="2"/>
      <c r="K2" s="108" t="s">
        <v>149</v>
      </c>
      <c r="L2" s="2"/>
    </row>
    <row r="3" spans="2:16" ht="30" customHeight="true">
      <c r="B3" s="12"/>
      <c r="C3" s="3" t="s">
        <v>0</v>
      </c>
      <c r="D3" s="5"/>
      <c r="E3" s="3"/>
      <c r="F3" s="85"/>
      <c r="G3" s="4"/>
      <c r="H3" s="5" t="s">
        <v>1</v>
      </c>
      <c r="I3" s="5"/>
      <c r="J3" s="5"/>
      <c r="K3" s="94"/>
      <c r="L3" s="2"/>
    </row>
    <row r="4" spans="2:16" ht="39.95" customHeight="true">
      <c r="B4" s="12"/>
      <c r="C4" s="38" t="s">
        <v>2</v>
      </c>
      <c r="D4" s="39"/>
      <c r="E4" s="128" t="s">
        <v>150</v>
      </c>
      <c r="F4" s="128"/>
      <c r="G4" s="17"/>
      <c r="H4" s="43" t="s">
        <v>12</v>
      </c>
      <c r="I4" s="43"/>
      <c r="J4" s="126" t="s">
        <v>156</v>
      </c>
      <c r="K4" s="126"/>
      <c r="L4" s="2"/>
    </row>
    <row r="5" spans="2:16" ht="42.75" customHeight="true">
      <c r="B5" s="12"/>
      <c r="C5" s="40" t="s">
        <v>35</v>
      </c>
      <c r="D5" s="41"/>
      <c r="E5" s="129" t="s">
        <v>151</v>
      </c>
      <c r="F5" s="129"/>
      <c r="G5" s="17"/>
      <c r="H5" s="40" t="s">
        <v>4</v>
      </c>
      <c r="I5" s="40"/>
      <c r="J5" s="127" t="s">
        <v>157</v>
      </c>
      <c r="K5" s="127"/>
      <c r="L5" s="2"/>
    </row>
    <row r="6" spans="2:16" ht="39.95" customHeight="true">
      <c r="B6" s="12"/>
      <c r="C6" s="40" t="s">
        <v>87</v>
      </c>
      <c r="D6" s="40"/>
      <c r="E6" s="127" t="s">
        <v>82</v>
      </c>
      <c r="F6" s="127"/>
      <c r="G6" s="17"/>
      <c r="H6" s="40" t="s">
        <v>5</v>
      </c>
      <c r="I6" s="40"/>
      <c r="J6" s="127" t="s">
        <v>6</v>
      </c>
      <c r="K6" s="127"/>
      <c r="L6" s="2"/>
    </row>
    <row r="7" spans="2:16" ht="39.95" customHeight="true">
      <c r="B7" s="12"/>
      <c r="C7" s="40" t="s">
        <v>38</v>
      </c>
      <c r="D7" s="42"/>
      <c r="E7" s="127" t="s">
        <v>152</v>
      </c>
      <c r="F7" s="127"/>
      <c r="G7" s="17"/>
      <c r="H7" s="40" t="s">
        <v>57</v>
      </c>
      <c r="I7" s="40"/>
      <c r="J7" s="127" t="s">
        <v>13</v>
      </c>
      <c r="K7" s="127"/>
      <c r="L7" s="2"/>
      <c r="P7" s="1"/>
    </row>
    <row r="8" spans="2:16" ht="39.95" customHeight="true">
      <c r="B8" s="12"/>
      <c r="C8" s="40" t="s">
        <v>76</v>
      </c>
      <c r="D8" s="40"/>
      <c r="E8" s="130" t="s">
        <v>153</v>
      </c>
      <c r="F8" s="127"/>
      <c r="G8" s="18"/>
      <c r="H8" s="40" t="s">
        <v>104</v>
      </c>
      <c r="I8" s="40"/>
      <c r="J8" s="127" t="s">
        <v>8</v>
      </c>
      <c r="K8" s="127"/>
      <c r="L8" s="2"/>
    </row>
    <row r="9" spans="2:16" ht="39.95" customHeight="true">
      <c r="B9" s="12"/>
      <c r="C9" s="40" t="s">
        <v>3</v>
      </c>
      <c r="D9" s="40"/>
      <c r="E9" s="127" t="s">
        <v>154</v>
      </c>
      <c r="F9" s="127"/>
      <c r="G9" s="18"/>
      <c r="H9" s="40" t="s">
        <v>10</v>
      </c>
      <c r="I9" s="40"/>
      <c r="J9" s="127" t="s">
        <v>158</v>
      </c>
      <c r="K9" s="127"/>
      <c r="L9" s="2"/>
    </row>
    <row r="10" spans="2:16" ht="39.95" customHeight="true">
      <c r="B10" s="12"/>
      <c r="C10" s="40" t="s">
        <v>86</v>
      </c>
      <c r="D10" s="40"/>
      <c r="E10" s="127" t="s">
        <v>155</v>
      </c>
      <c r="F10" s="127"/>
      <c r="G10" s="18"/>
      <c r="H10" s="42" t="s">
        <v>103</v>
      </c>
      <c r="I10" s="40"/>
      <c r="J10" s="127" t="s">
        <v>159</v>
      </c>
      <c r="K10" s="127"/>
      <c r="L10" s="2"/>
    </row>
    <row r="11" spans="2:16" ht="39.95" customHeight="true" thickBot="true">
      <c r="B11" s="12"/>
      <c r="C11" s="15"/>
      <c r="D11" s="15"/>
      <c r="E11" s="118"/>
      <c r="F11" s="118"/>
      <c r="G11" s="18"/>
      <c r="H11" s="15"/>
      <c r="I11" s="15"/>
      <c r="J11" s="117"/>
      <c r="K11" s="117"/>
      <c r="L11" s="2"/>
    </row>
    <row r="12" spans="2:16" ht="30" customHeight="true" thickTop="true">
      <c r="B12" s="13"/>
      <c r="C12" s="9"/>
      <c r="D12" s="10"/>
      <c r="E12" s="10"/>
      <c r="F12" s="86"/>
      <c r="G12" s="8"/>
      <c r="H12" s="9"/>
      <c r="I12" s="9"/>
      <c r="J12" s="10"/>
      <c r="K12" s="10"/>
      <c r="L12" s="8"/>
    </row>
    <row r="13" spans="2:16" ht="30" customHeight="true">
      <c r="B13" s="13"/>
      <c r="C13" s="5" t="s">
        <v>14</v>
      </c>
      <c r="D13" s="5"/>
      <c r="E13" s="3"/>
      <c r="F13" s="85"/>
      <c r="G13" s="8"/>
      <c r="H13" s="5">
        <f>"Health status ("&amp;SUM($D$15:$F$24)&amp;" of "&amp;85&amp;")"</f>
      </c>
      <c r="I13" s="8"/>
      <c r="J13" s="8"/>
      <c r="K13" s="8"/>
      <c r="L13" s="91"/>
    </row>
    <row r="14" spans="2:16" ht="30" customHeight="true">
      <c r="B14" s="13"/>
      <c r="C14" s="8"/>
      <c r="D14" s="16" t="s">
        <v>16</v>
      </c>
      <c r="E14" s="16" t="s">
        <v>31</v>
      </c>
      <c r="F14" s="87" t="s">
        <v>17</v>
      </c>
      <c r="G14" s="8"/>
      <c r="H14" s="8"/>
      <c r="I14" s="8"/>
      <c r="J14" s="8"/>
      <c r="K14" s="8"/>
      <c r="L14" s="98">
        <f>1-SUM($D$15:$F$24)/85</f>
      </c>
    </row>
    <row r="15" spans="2:16" ht="30" customHeight="true">
      <c r="B15" s="13"/>
      <c r="C15" s="15" t="s">
        <v>98</v>
      </c>
      <c r="D15" s="6">
        <v>1</v>
      </c>
      <c r="E15" s="6">
        <v>11</v>
      </c>
      <c r="F15" s="88">
        <v>2</v>
      </c>
      <c r="G15" s="8"/>
      <c r="H15" s="8"/>
      <c r="I15" s="8"/>
      <c r="J15" s="8"/>
      <c r="K15" s="8"/>
      <c r="L15" s="8"/>
    </row>
    <row r="16" spans="2:16" ht="30" customHeight="true">
      <c r="B16" s="13"/>
      <c r="C16" s="15" t="s">
        <v>99</v>
      </c>
      <c r="D16" s="6">
        <v>0</v>
      </c>
      <c r="E16" s="6">
        <v>0</v>
      </c>
      <c r="F16" s="88">
        <v>0</v>
      </c>
      <c r="G16" s="8"/>
      <c r="H16" s="8"/>
      <c r="I16" s="8"/>
      <c r="J16" s="8"/>
      <c r="K16" s="8"/>
      <c r="L16" s="8"/>
    </row>
    <row r="17" spans="2:12" ht="30" customHeight="true">
      <c r="B17" s="13"/>
      <c r="C17" s="15" t="s">
        <v>101</v>
      </c>
      <c r="D17" s="6">
        <v>0</v>
      </c>
      <c r="E17" s="6">
        <v>0</v>
      </c>
      <c r="F17" s="88">
        <v>0</v>
      </c>
      <c r="G17" s="8"/>
      <c r="H17" s="8"/>
      <c r="I17" s="8"/>
      <c r="J17" s="8"/>
      <c r="K17" s="8"/>
      <c r="L17" s="8"/>
    </row>
    <row r="18" spans="2:12" ht="30" customHeight="true">
      <c r="B18" s="13"/>
      <c r="C18" s="15" t="s">
        <v>102</v>
      </c>
      <c r="D18" s="6">
        <v>0</v>
      </c>
      <c r="E18" s="6">
        <v>0</v>
      </c>
      <c r="F18" s="88">
        <v>0</v>
      </c>
      <c r="G18" s="8"/>
      <c r="H18" s="8"/>
      <c r="I18" s="8"/>
      <c r="J18" s="8"/>
      <c r="K18" s="8"/>
      <c r="L18" s="8"/>
    </row>
    <row r="19" spans="2:12" ht="30" customHeight="true">
      <c r="B19" s="13"/>
      <c r="C19" s="15" t="s">
        <v>94</v>
      </c>
      <c r="D19" s="6">
        <v>0</v>
      </c>
      <c r="E19" s="6">
        <v>0</v>
      </c>
      <c r="F19" s="88">
        <v>0</v>
      </c>
      <c r="G19" s="8"/>
      <c r="H19" s="8"/>
      <c r="I19" s="5"/>
      <c r="J19" s="8"/>
      <c r="K19" s="8"/>
      <c r="L19" s="8"/>
    </row>
    <row r="20" spans="2:12" ht="30" customHeight="true">
      <c r="B20" s="13"/>
      <c r="C20" s="15" t="s">
        <v>95</v>
      </c>
      <c r="D20" s="6">
        <v>0</v>
      </c>
      <c r="E20" s="6">
        <v>0</v>
      </c>
      <c r="F20" s="88">
        <v>0</v>
      </c>
      <c r="G20" s="8"/>
      <c r="H20" s="8"/>
      <c r="I20" s="8"/>
      <c r="J20" s="8"/>
      <c r="K20" s="8"/>
      <c r="L20" s="8"/>
    </row>
    <row r="21" spans="2:12" ht="30" customHeight="true">
      <c r="B21" s="13"/>
      <c r="C21" s="15" t="s">
        <v>96</v>
      </c>
      <c r="D21" s="6">
        <v>1</v>
      </c>
      <c r="E21" s="6">
        <v>0</v>
      </c>
      <c r="F21" s="88">
        <v>0</v>
      </c>
      <c r="G21" s="8"/>
      <c r="H21" s="8"/>
      <c r="I21" s="8"/>
      <c r="J21" s="8"/>
      <c r="K21" s="8"/>
      <c r="L21" s="8"/>
    </row>
    <row r="22" spans="2:12" ht="30" customHeight="true">
      <c r="B22" s="13"/>
      <c r="C22" s="15" t="s">
        <v>97</v>
      </c>
      <c r="D22" s="6">
        <v>0</v>
      </c>
      <c r="E22" s="6">
        <v>0</v>
      </c>
      <c r="F22" s="88">
        <v>1</v>
      </c>
      <c r="G22" s="4"/>
      <c r="H22" s="8"/>
      <c r="I22" s="8"/>
      <c r="J22" s="8"/>
      <c r="K22" s="8"/>
      <c r="L22" s="8"/>
    </row>
    <row r="23" spans="2:12" ht="30" customHeight="true">
      <c r="B23" s="13"/>
      <c r="C23" s="15" t="s">
        <v>100</v>
      </c>
      <c r="D23" s="6">
        <v>0</v>
      </c>
      <c r="E23" s="6">
        <v>0</v>
      </c>
      <c r="F23" s="88">
        <v>0</v>
      </c>
      <c r="G23" s="4"/>
      <c r="H23" s="8"/>
      <c r="I23" s="8"/>
      <c r="J23" s="8"/>
      <c r="K23" s="8"/>
      <c r="L23" s="8"/>
    </row>
    <row r="24" spans="2:12" ht="30" customHeight="true">
      <c r="B24" s="13"/>
      <c r="C24" s="15" t="s">
        <v>15</v>
      </c>
      <c r="D24" s="6">
        <v>0</v>
      </c>
      <c r="E24" s="6">
        <v>0</v>
      </c>
      <c r="F24" s="88">
        <v>0</v>
      </c>
      <c r="G24" s="4"/>
      <c r="H24" s="8"/>
      <c r="I24" s="8"/>
      <c r="J24" s="8"/>
      <c r="K24" s="8"/>
      <c r="L24" s="8"/>
    </row>
    <row r="25" spans="2:12" ht="30" customHeight="true" thickBot="true">
      <c r="B25" s="13"/>
      <c r="C25" s="11"/>
      <c r="D25" s="7"/>
      <c r="E25" s="7"/>
      <c r="F25" s="89"/>
      <c r="G25" s="4"/>
      <c r="H25" s="8"/>
      <c r="I25" s="8"/>
      <c r="J25" s="8"/>
      <c r="K25" s="8"/>
      <c r="L25" s="8"/>
    </row>
    <row r="26" spans="2:12" ht="30" customHeight="true" thickTop="true">
      <c r="B26" s="13"/>
      <c r="C26" s="9"/>
      <c r="D26" s="10"/>
      <c r="E26" s="10"/>
      <c r="F26" s="86"/>
      <c r="G26" s="4"/>
      <c r="H26" s="8"/>
      <c r="I26" s="8"/>
      <c r="J26" s="8"/>
      <c r="K26" s="8"/>
      <c r="L26" s="8"/>
    </row>
    <row r="27" spans="2:12" ht="35.1" customHeight="true">
      <c r="B27" s="13"/>
      <c r="C27" s="5" t="s">
        <v>19</v>
      </c>
      <c r="D27" s="13"/>
      <c r="E27" s="13"/>
      <c r="F27" s="13"/>
      <c r="G27" s="13"/>
      <c r="H27" s="13"/>
      <c r="I27" s="13"/>
      <c r="J27" s="13"/>
      <c r="K27" s="13"/>
      <c r="L27" s="13"/>
    </row>
    <row r="28" spans="2:12" ht="24.95" customHeight="true" thickBot="true">
      <c r="B28" s="54" t="s">
        <v>20</v>
      </c>
      <c r="C28" s="55" t="s">
        <v>22</v>
      </c>
      <c r="D28" s="56" t="s">
        <v>24</v>
      </c>
      <c r="E28" s="55"/>
      <c r="F28" s="55" t="s">
        <v>25</v>
      </c>
      <c r="G28" s="57" t="s">
        <v>29</v>
      </c>
      <c r="H28" s="58" t="s">
        <v>21</v>
      </c>
      <c r="I28" s="54"/>
      <c r="J28" s="54"/>
      <c r="K28" s="59"/>
      <c r="L28" s="60"/>
    </row>
    <row r="29" spans="2:12" ht="42" customHeight="true" thickTop="true">
      <c r="B29" s="99">
        <v>1</v>
      </c>
      <c r="C29" s="26" t="s">
        <v>98</v>
      </c>
      <c r="D29" s="27" t="s">
        <v>26</v>
      </c>
      <c r="E29" s="28"/>
      <c r="F29" s="29">
        <v>0</v>
      </c>
      <c r="G29" s="47" t="s" cm="1">
        <v>210</v>
      </c>
      <c r="H29" s="119" t="s">
        <v>211</v>
      </c>
      <c r="I29" s="119"/>
      <c r="J29" s="119"/>
      <c r="K29" s="119"/>
      <c r="L29" s="50" t="str">
        <f>HYPERLINK("#OS!C14","Detail")</f>
      </c>
    </row>
    <row r="30" spans="2:12" ht="42" customHeight="true">
      <c r="B30" s="100">
        <v>2</v>
      </c>
      <c r="C30" s="31" t="s">
        <v>96</v>
      </c>
      <c r="D30" s="32" t="s">
        <v>96</v>
      </c>
      <c r="E30" s="31"/>
      <c r="F30" s="33">
        <v>0</v>
      </c>
      <c r="G30" s="48" t="s" cm="1">
        <v>210</v>
      </c>
      <c r="H30" s="116" t="s">
        <v>212</v>
      </c>
      <c r="I30" s="116"/>
      <c r="J30" s="116"/>
      <c r="K30" s="116"/>
      <c r="L30" s="51" t="str">
        <f>HYPERLINK("#DB!C39","Detail")</f>
      </c>
    </row>
    <row r="31" spans="2:12" ht="42" customHeight="true">
      <c r="B31" s="99">
        <v>3</v>
      </c>
      <c r="C31" s="28" t="s">
        <v>98</v>
      </c>
      <c r="D31" s="34" t="s">
        <v>27</v>
      </c>
      <c r="E31" s="28"/>
      <c r="F31" s="29">
        <v>5</v>
      </c>
      <c r="G31" s="47" t="s">
        <v>31</v>
      </c>
      <c r="H31" s="115" t="s">
        <v>213</v>
      </c>
      <c r="I31" s="115"/>
      <c r="J31" s="115"/>
      <c r="K31" s="115"/>
      <c r="L31" s="50" t="str">
        <f>HYPERLINK("#OS!C11","Detail")</f>
      </c>
    </row>
    <row r="32" spans="2:12" ht="42" customHeight="true">
      <c r="B32" s="100">
        <v>4</v>
      </c>
      <c r="C32" s="31" t="s">
        <v>98</v>
      </c>
      <c r="D32" s="32" t="s">
        <v>27</v>
      </c>
      <c r="E32" s="31"/>
      <c r="F32" s="33">
        <v>5</v>
      </c>
      <c r="G32" s="48" t="s">
        <v>31</v>
      </c>
      <c r="H32" s="116" t="s">
        <v>214</v>
      </c>
      <c r="I32" s="116"/>
      <c r="J32" s="116"/>
      <c r="K32" s="116"/>
      <c r="L32" s="51" t="str">
        <f>HYPERLINK("#OS!C11","Detail")</f>
      </c>
    </row>
    <row r="33" spans="2:12" ht="42" customHeight="true">
      <c r="B33" s="101">
        <v>5</v>
      </c>
      <c r="C33" s="35" t="s">
        <v>98</v>
      </c>
      <c r="D33" s="34" t="s">
        <v>26</v>
      </c>
      <c r="E33" s="35"/>
      <c r="F33" s="36">
        <v>5</v>
      </c>
      <c r="G33" s="49" t="s">
        <v>31</v>
      </c>
      <c r="H33" s="115" t="s">
        <v>215</v>
      </c>
      <c r="I33" s="115"/>
      <c r="J33" s="115"/>
      <c r="K33" s="115"/>
      <c r="L33" s="52" t="str">
        <f>HYPERLINK("#OS!C14","Detail")</f>
      </c>
    </row>
    <row r="34" spans="2:12" ht="42" customHeight="true">
      <c r="B34" s="102">
        <v>6</v>
      </c>
      <c r="C34" s="103" t="s">
        <v>98</v>
      </c>
      <c r="D34" s="103" t="s">
        <v>34</v>
      </c>
      <c r="E34" s="103"/>
      <c r="F34" s="96">
        <v>5</v>
      </c>
      <c r="G34" s="103" t="s">
        <v>31</v>
      </c>
      <c r="H34" s="116" t="s">
        <v>216</v>
      </c>
      <c r="I34" s="116"/>
      <c r="J34" s="116"/>
      <c r="K34" s="116"/>
      <c r="L34" s="53" t="str">
        <f>HYPERLINK("#OS!C17","Detail")</f>
      </c>
    </row>
    <row r="35" spans="2:12" ht="42" customHeight="true">
      <c r="B35" s="101">
        <v>7</v>
      </c>
      <c r="C35" s="35" t="s">
        <v>98</v>
      </c>
      <c r="D35" s="34" t="s">
        <v>217</v>
      </c>
      <c r="E35" s="35"/>
      <c r="F35" s="36">
        <v>5</v>
      </c>
      <c r="G35" s="49" t="s">
        <v>31</v>
      </c>
      <c r="H35" s="115" t="s">
        <v>218</v>
      </c>
      <c r="I35" s="115"/>
      <c r="J35" s="115"/>
      <c r="K35" s="115"/>
      <c r="L35" s="52" t="str">
        <f>HYPERLINK("#OS!C20","Detail")</f>
      </c>
    </row>
    <row r="36" spans="2:12" ht="42" customHeight="true">
      <c r="B36" s="100">
        <v>8</v>
      </c>
      <c r="C36" s="31" t="s">
        <v>98</v>
      </c>
      <c r="D36" s="32" t="s">
        <v>219</v>
      </c>
      <c r="E36" s="31"/>
      <c r="F36" s="33">
        <v>5</v>
      </c>
      <c r="G36" s="48" t="s">
        <v>31</v>
      </c>
      <c r="H36" s="116" t="s">
        <v>220</v>
      </c>
      <c r="I36" s="116"/>
      <c r="J36" s="116"/>
      <c r="K36" s="116"/>
      <c r="L36" s="51" t="str">
        <f>HYPERLINK("#OS!C24","Detail")</f>
      </c>
    </row>
    <row r="37" spans="2:12" ht="42" customHeight="true">
      <c r="B37" s="101">
        <v>9</v>
      </c>
      <c r="C37" s="35" t="s">
        <v>98</v>
      </c>
      <c r="D37" s="34" t="s">
        <v>221</v>
      </c>
      <c r="E37" s="35"/>
      <c r="F37" s="36">
        <v>5</v>
      </c>
      <c r="G37" s="49" t="s">
        <v>31</v>
      </c>
      <c r="H37" s="115" t="s">
        <v>222</v>
      </c>
      <c r="I37" s="115"/>
      <c r="J37" s="115"/>
      <c r="K37" s="115"/>
      <c r="L37" s="52" t="str">
        <f>HYPERLINK("#OS!C26","Detail")</f>
      </c>
    </row>
    <row r="38" spans="2:12" ht="42" customHeight="true">
      <c r="B38" s="102">
        <v>10</v>
      </c>
      <c r="C38" s="103" t="s">
        <v>98</v>
      </c>
      <c r="D38" s="103" t="s">
        <v>223</v>
      </c>
      <c r="E38" s="103"/>
      <c r="F38" s="96">
        <v>5</v>
      </c>
      <c r="G38" s="103" t="s">
        <v>31</v>
      </c>
      <c r="H38" s="116" t="s">
        <v>224</v>
      </c>
      <c r="I38" s="116"/>
      <c r="J38" s="116"/>
      <c r="K38" s="116"/>
      <c r="L38" s="53" t="str">
        <f>HYPERLINK("#OS!C27","Detail")</f>
      </c>
    </row>
    <row r="39" spans="2:12" ht="42" customHeight="true">
      <c r="B39" s="101">
        <v>11</v>
      </c>
      <c r="C39" s="35" t="s">
        <v>98</v>
      </c>
      <c r="D39" s="34" t="s">
        <v>225</v>
      </c>
      <c r="E39" s="35"/>
      <c r="F39" s="36">
        <v>5</v>
      </c>
      <c r="G39" s="49" t="s">
        <v>31</v>
      </c>
      <c r="H39" s="115" t="s">
        <v>226</v>
      </c>
      <c r="I39" s="115"/>
      <c r="J39" s="115"/>
      <c r="K39" s="115"/>
      <c r="L39" s="52" t="str">
        <f>HYPERLINK("#OS!C29","Detail")</f>
      </c>
    </row>
    <row r="40" spans="2:12" ht="42" customHeight="true">
      <c r="B40" s="100">
        <v>12</v>
      </c>
      <c r="C40" s="31" t="s">
        <v>98</v>
      </c>
      <c r="D40" s="32" t="s">
        <v>227</v>
      </c>
      <c r="E40" s="31"/>
      <c r="F40" s="33">
        <v>5</v>
      </c>
      <c r="G40" s="48" t="s">
        <v>31</v>
      </c>
      <c r="H40" s="116" t="s">
        <v>228</v>
      </c>
      <c r="I40" s="116"/>
      <c r="J40" s="116"/>
      <c r="K40" s="116"/>
      <c r="L40" s="51" t="str">
        <f>HYPERLINK("#OS!C30","Detail")</f>
      </c>
    </row>
    <row r="41" spans="2:12" ht="42" customHeight="true">
      <c r="B41" s="101">
        <v>13</v>
      </c>
      <c r="C41" s="35" t="s">
        <v>98</v>
      </c>
      <c r="D41" s="34" t="s">
        <v>27</v>
      </c>
      <c r="E41" s="35"/>
      <c r="F41" s="36">
        <v>5</v>
      </c>
      <c r="G41" s="49" t="s">
        <v>31</v>
      </c>
      <c r="H41" s="115" t="s">
        <v>229</v>
      </c>
      <c r="I41" s="115"/>
      <c r="J41" s="115"/>
      <c r="K41" s="115"/>
      <c r="L41" s="52" t="str">
        <f>HYPERLINK("#OS!C11","Detail")</f>
      </c>
    </row>
    <row r="42" spans="2:12" ht="42" customHeight="true">
      <c r="B42" s="100">
        <v>14</v>
      </c>
      <c r="C42" s="31" t="s">
        <v>98</v>
      </c>
      <c r="D42" s="32" t="s">
        <v>27</v>
      </c>
      <c r="E42" s="31"/>
      <c r="F42" s="33">
        <v>8</v>
      </c>
      <c r="G42" s="48" t="s">
        <v>17</v>
      </c>
      <c r="H42" s="116" t="s">
        <v>230</v>
      </c>
      <c r="I42" s="116"/>
      <c r="J42" s="116"/>
      <c r="K42" s="116"/>
      <c r="L42" s="51" t="str">
        <f>HYPERLINK("#OS!C11","Detail")</f>
      </c>
    </row>
    <row r="43" spans="2:12" ht="42" customHeight="true">
      <c r="B43" s="101">
        <v>15</v>
      </c>
      <c r="C43" s="35" t="s">
        <v>98</v>
      </c>
      <c r="D43" s="34" t="s">
        <v>27</v>
      </c>
      <c r="E43" s="35"/>
      <c r="F43" s="36">
        <v>8</v>
      </c>
      <c r="G43" s="49" t="s">
        <v>17</v>
      </c>
      <c r="H43" s="115" t="s">
        <v>231</v>
      </c>
      <c r="I43" s="115"/>
      <c r="J43" s="115"/>
      <c r="K43" s="115"/>
      <c r="L43" s="52" t="str">
        <f>HYPERLINK("#OS!C11","Detail")</f>
      </c>
    </row>
    <row r="44" spans="2:12" ht="42" customHeight="true">
      <c r="B44" s="100">
        <v>16</v>
      </c>
      <c r="C44" s="31" t="s">
        <v>97</v>
      </c>
      <c r="D44" s="32" t="s">
        <v>232</v>
      </c>
      <c r="E44" s="31"/>
      <c r="F44" s="33">
        <v>8</v>
      </c>
      <c r="G44" s="48" t="s">
        <v>17</v>
      </c>
      <c r="H44" s="116" t="s">
        <v>233</v>
      </c>
      <c r="I44" s="116"/>
      <c r="J44" s="116"/>
      <c r="K44" s="116"/>
      <c r="L44" s="51" t="str">
        <f>HYPERLINK("#DB!C30","Detail")</f>
      </c>
    </row>
    <row r="45" spans="2:12" ht="42" customHeight="true">
      <c r="B45" s="100"/>
      <c r="C45" s="31"/>
      <c r="D45" s="32"/>
      <c r="E45" s="31"/>
      <c r="F45" s="33"/>
      <c r="G45" s="48"/>
      <c r="H45" s="116"/>
      <c r="I45" s="116"/>
      <c r="J45" s="116"/>
      <c r="K45" s="116"/>
      <c r="L45" s="51"/>
    </row>
    <row r="46" spans="2:12" ht="42" customHeight="true">
      <c r="B46" s="101"/>
      <c r="C46" s="35"/>
      <c r="D46" s="34"/>
      <c r="E46" s="35"/>
      <c r="F46" s="36"/>
      <c r="G46" s="49"/>
      <c r="H46" s="115"/>
      <c r="I46" s="115"/>
      <c r="J46" s="115"/>
      <c r="K46" s="115"/>
      <c r="L46" s="52"/>
    </row>
    <row r="47" spans="2:12" ht="42" customHeight="true">
      <c r="B47" s="100"/>
      <c r="C47" s="31"/>
      <c r="D47" s="32"/>
      <c r="E47" s="31"/>
      <c r="F47" s="33"/>
      <c r="G47" s="48"/>
      <c r="H47" s="116"/>
      <c r="I47" s="116"/>
      <c r="J47" s="116"/>
      <c r="K47" s="116"/>
      <c r="L47" s="51"/>
    </row>
    <row r="48" spans="2:12" ht="42" customHeight="true">
      <c r="B48" s="101"/>
      <c r="C48" s="35"/>
      <c r="D48" s="34"/>
      <c r="E48" s="35"/>
      <c r="F48" s="36"/>
      <c r="G48" s="49"/>
      <c r="H48" s="115"/>
      <c r="I48" s="115"/>
      <c r="J48" s="115"/>
      <c r="K48" s="115"/>
      <c r="L48" s="52"/>
    </row>
    <row r="49" spans="2:12" ht="42" customHeight="true">
      <c r="B49" s="100"/>
      <c r="C49" s="31"/>
      <c r="D49" s="32"/>
      <c r="E49" s="31"/>
      <c r="F49" s="33"/>
      <c r="G49" s="48"/>
      <c r="H49" s="125" t="s">
        <v>149</v>
      </c>
      <c r="I49" s="125"/>
      <c r="J49" s="125"/>
      <c r="K49" s="125"/>
      <c r="L49" s="51"/>
    </row>
    <row r="50" spans="2:12" ht="9" customHeight="true">
      <c r="B50" s="99"/>
      <c r="C50" s="28"/>
      <c r="D50" s="34"/>
      <c r="E50" s="28"/>
      <c r="F50" s="29"/>
      <c r="G50" s="47"/>
      <c r="H50" s="124"/>
      <c r="I50" s="124"/>
      <c r="J50" s="124"/>
      <c r="K50" s="124"/>
      <c r="L50" s="50"/>
    </row>
    <row r="51" spans="2:12" ht="5.25" customHeight="true" thickBot="true">
      <c r="B51" s="54"/>
      <c r="C51" s="55"/>
      <c r="D51" s="56"/>
      <c r="E51" s="55"/>
      <c r="F51" s="55"/>
      <c r="G51" s="57"/>
      <c r="H51" s="58"/>
      <c r="I51" s="54"/>
      <c r="J51" s="54"/>
      <c r="K51" s="59"/>
      <c r="L51" s="60"/>
    </row>
    <row r="52" spans="2:12" ht="12.75" customHeight="true" thickTop="true">
      <c r="B52" s="30"/>
      <c r="C52" s="104"/>
      <c r="D52" s="104"/>
      <c r="E52" s="105"/>
      <c r="F52" s="106"/>
      <c r="G52" s="107"/>
      <c r="H52" s="122"/>
      <c r="I52" s="122"/>
      <c r="J52" s="122"/>
      <c r="K52" s="122"/>
      <c r="L52" s="51"/>
    </row>
    <row r="53" spans="2:12" ht="39.95" customHeight="true">
      <c r="H53" s="123"/>
      <c r="I53" s="123"/>
      <c r="J53" s="123"/>
      <c r="K53" s="123"/>
    </row>
    <row r="54" spans="2:12" ht="39.95" customHeight="true">
      <c r="H54" s="120"/>
      <c r="I54" s="120"/>
      <c r="J54" s="121"/>
      <c r="K54" s="120"/>
    </row>
    <row r="55" spans="2:12" ht="39.95" customHeight="true">
      <c r="J55" s="14"/>
      <c r="K55" s="97"/>
    </row>
    <row r="56" spans="2:12" ht="39.95" customHeight="true">
      <c r="J56" s="14"/>
    </row>
    <row r="57" spans="2:12" ht="39.95" customHeight="true"/>
    <row r="58" spans="2:12" ht="15"/>
    <row r="59" spans="2:12" ht="39.95" customHeight="true"/>
    <row r="60" spans="2:12" ht="39.95" customHeight="true">
      <c r="J60" s="14"/>
    </row>
    <row r="61" spans="2:12" ht="39.95" customHeight="true">
      <c r="J61" s="14"/>
    </row>
    <row r="62" spans="2:12" ht="39.95" customHeight="true">
      <c r="J62" s="14"/>
    </row>
  </sheetData>
  <dataConsolidate/>
  <mergeCells count="41">
    <mergeCell ref="H52:K52"/>
    <mergeCell ref="H53:K53"/>
    <mergeCell ref="H50:K50"/>
    <mergeCell ref="H45:K45"/>
    <mergeCell ref="H46:K46"/>
    <mergeCell ref="H47:K47"/>
    <mergeCell ref="H48:K48"/>
    <mergeCell ref="H49:K49"/>
    <mergeCell ref="H54:K54"/>
    <mergeCell ref="J11:K11"/>
    <mergeCell ref="H32:K32"/>
    <mergeCell ref="E9:F9"/>
    <mergeCell ref="E10:F10"/>
    <mergeCell ref="E11:F11"/>
    <mergeCell ref="H29:K29"/>
    <mergeCell ref="H30:K30"/>
    <mergeCell ref="H31:K31"/>
    <mergeCell ref="E8:F8"/>
    <mergeCell ref="J8:K8"/>
    <mergeCell ref="J9:K9"/>
    <mergeCell ref="J10:K10"/>
    <mergeCell ref="J4:K4"/>
    <mergeCell ref="J5:K5"/>
    <mergeCell ref="J6:K6"/>
    <mergeCell ref="J7:K7"/>
    <mergeCell ref="E4:F4"/>
    <mergeCell ref="E5:F5"/>
    <mergeCell ref="E6:F6"/>
    <mergeCell ref="E7:F7"/>
    <mergeCell ref="H33:K33"/>
    <mergeCell ref="H43:K43"/>
    <mergeCell ref="H34:K34"/>
    <mergeCell ref="H36:K36"/>
    <mergeCell ref="H38:K38"/>
    <mergeCell ref="H40:K40"/>
    <mergeCell ref="H42:K42"/>
    <mergeCell ref="H44:K44"/>
    <mergeCell ref="H41:K41"/>
    <mergeCell ref="H39:K39"/>
    <mergeCell ref="H37:K37"/>
    <mergeCell ref="H35:K35"/>
  </mergeCells>
  <phoneticPr fontId="14" type="noConversion"/>
  <dataValidations count="1" xWindow="250" yWindow="706">
    <dataValidation allowBlank="true" prompt="Purchasing Progress bar is in cells E5 through H7" showErrorMessage="true" showInputMessage="true" sqref="P7:P7"/>
  </dataValidations>
  <printOptions horizontalCentered="true"/>
  <pageMargins left="0.7" right="0.7" top="0.75" bottom="0.75" header="0.3" footer="0.3"/>
  <pageSetup fitToHeight="0" r:id="rId1" orientation="portrait" scale="58"/>
  <headerFooter differentFirst="true">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iconSet" priority="4" id="{5A0B404C-F42C-4492-B16D-3985957F87AE}">
            <x14:iconSet iconSet="4Rating" showValue="0" custom="1">
              <x14:cfvo type="percent">
                <xm:f>0</xm:f>
              </x14:cfvo>
              <x14:cfvo type="num">
                <xm:f>5</xm:f>
              </x14:cfvo>
              <x14:cfvo type="num">
                <xm:f>8</xm:f>
              </x14:cfvo>
              <x14:cfvo type="num">
                <xm:f>10</xm:f>
              </x14:cfvo>
              <x14:cfIcon iconSet="3Symbols" iconId="0"/>
              <x14:cfIcon iconSet="3Flags" iconId="0"/>
              <x14:cfIcon iconSet="3Symbols" iconId="1"/>
              <x14:cfIcon iconSet="3Symbols" iconId="2"/>
            </x14:iconSet>
          </x14:cfRule>
          <xm:sqref>F83:F85 F29:F81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AA4F4-B1FA-4569-9A5C-4430E8288027}">
  <dimension ref="A1:AB30"/>
  <sheetViews>
    <sheetView zoomScaleNormal="100" workbookViewId="0">
      <pane activePane="bottomRight" state="frozen" topLeftCell="B3" xSplit="1" ySplit="2"/>
      <selection activeCell="B1" pane="topRight" sqref="B1"/>
      <selection activeCell="A2" pane="bottomLeft" sqref="A2"/>
      <selection activeCell="E7" pane="bottomRight" sqref="E7"/>
    </sheetView>
  </sheetViews>
  <sheetFormatPr defaultRowHeight="15.75"/>
  <cols>
    <col bestFit="true" customWidth="true" max="1" min="1" style="64" width="15.375"/>
    <col customWidth="true" max="2" min="2" style="81" width="7.625"/>
    <col customWidth="true" max="4" min="3" style="45" width="90.625"/>
    <col customWidth="true" max="5" min="5" style="24" width="9"/>
    <col customWidth="true" max="28" min="6" style="24" width="70"/>
    <col max="16384" min="29" style="25" width="9"/>
  </cols>
  <sheetData>
    <row r="1" spans="1:28">
      <c r="A1" s="90" t="s">
        <v>106</v>
      </c>
      <c r="B1" s="90" t="s">
        <v>105</v>
      </c>
      <c r="C1" s="90" t="s">
        <v>160</v>
      </c>
      <c r="D1" s="90"/>
    </row>
    <row r="2" spans="1:28" s="62" customFormat="true" ht="17.25">
      <c r="A2" s="63" t="s">
        <v>33</v>
      </c>
      <c r="B2" s="76">
        <v>10</v>
      </c>
      <c r="C2" s="67" t="s">
        <v>150</v>
      </c>
      <c r="D2" s="46"/>
      <c r="E2" s="61"/>
      <c r="F2" s="61"/>
      <c r="G2" s="61"/>
      <c r="H2" s="61"/>
      <c r="I2" s="61"/>
      <c r="J2" s="61"/>
      <c r="K2" s="61"/>
      <c r="L2" s="61"/>
      <c r="M2" s="61"/>
      <c r="N2" s="61"/>
      <c r="O2" s="61"/>
      <c r="P2" s="61"/>
      <c r="Q2" s="61"/>
      <c r="R2" s="61"/>
      <c r="S2" s="61"/>
      <c r="T2" s="61"/>
      <c r="U2" s="61"/>
      <c r="V2" s="61"/>
      <c r="W2" s="61"/>
      <c r="X2" s="61"/>
      <c r="Y2" s="61"/>
      <c r="Z2" s="61"/>
      <c r="AA2" s="61"/>
      <c r="AB2" s="61"/>
    </row>
    <row r="3" spans="1:28" ht="17.25">
      <c r="A3" s="63" t="s">
        <v>35</v>
      </c>
      <c r="B3" s="77">
        <v>10</v>
      </c>
      <c r="C3" s="70" t="s">
        <v>151</v>
      </c>
      <c r="D3" s="71"/>
    </row>
    <row r="4" spans="1:28" ht="17.25">
      <c r="A4" s="63" t="s">
        <v>87</v>
      </c>
      <c r="B4" s="78">
        <v>10</v>
      </c>
      <c r="C4" s="73" t="s">
        <v>82</v>
      </c>
      <c r="D4" s="75"/>
    </row>
    <row r="5" spans="1:28" ht="17.25">
      <c r="A5" s="63" t="s">
        <v>38</v>
      </c>
      <c r="B5" s="79">
        <v>10</v>
      </c>
      <c r="C5" s="72" t="s">
        <v>152</v>
      </c>
      <c r="D5" s="74"/>
    </row>
    <row r="6" spans="1:28" ht="17.25">
      <c r="A6" s="63" t="s">
        <v>76</v>
      </c>
      <c r="B6" s="78">
        <v>10</v>
      </c>
      <c r="C6" s="73" t="s">
        <v>153</v>
      </c>
      <c r="D6" s="75"/>
    </row>
    <row r="7" spans="1:28" ht="17.25">
      <c r="A7" s="63" t="s">
        <v>77</v>
      </c>
      <c r="B7" s="79">
        <v>10</v>
      </c>
      <c r="C7" s="72" t="s">
        <v>161</v>
      </c>
      <c r="D7" s="74"/>
      <c r="E7" s="37"/>
    </row>
    <row r="8" spans="1:28" ht="17.25">
      <c r="A8" s="63" t="s">
        <v>39</v>
      </c>
      <c r="B8" s="78">
        <v>10</v>
      </c>
      <c r="C8" s="73" t="s">
        <v>154</v>
      </c>
      <c r="D8" s="75"/>
    </row>
    <row r="9" spans="1:28" ht="17.25">
      <c r="A9" s="63" t="s">
        <v>86</v>
      </c>
      <c r="B9" s="79">
        <v>10</v>
      </c>
      <c r="C9" s="72" t="s">
        <v>155</v>
      </c>
      <c r="D9" s="74"/>
    </row>
    <row r="10" spans="1:28" ht="17.25">
      <c r="A10" s="63" t="s">
        <v>40</v>
      </c>
      <c r="B10" s="78">
        <v>10</v>
      </c>
      <c r="C10" s="73" t="s">
        <v>162</v>
      </c>
      <c r="D10" s="75"/>
    </row>
    <row r="11" spans="1:28" ht="17.25">
      <c r="A11" s="63" t="s">
        <v>27</v>
      </c>
      <c r="B11" s="79">
        <v>5</v>
      </c>
      <c r="C11" s="131" t="s">
        <v>163</v>
      </c>
      <c r="D11" s="74"/>
    </row>
    <row r="12" spans="1:28" ht="17.25">
      <c r="A12" s="63" t="s">
        <v>41</v>
      </c>
      <c r="B12" s="78">
        <v>10</v>
      </c>
      <c r="C12" s="73" t="s">
        <v>164</v>
      </c>
      <c r="D12" s="75"/>
    </row>
    <row r="13" spans="1:28" ht="17.25">
      <c r="A13" s="63" t="s">
        <v>36</v>
      </c>
      <c r="B13" s="79">
        <v>10</v>
      </c>
      <c r="C13" s="72" t="s">
        <v>165</v>
      </c>
      <c r="D13" s="74"/>
    </row>
    <row r="14" spans="1:28" ht="17.25">
      <c r="A14" s="63" t="s">
        <v>26</v>
      </c>
      <c r="B14" s="78">
        <v>0</v>
      </c>
      <c r="C14" s="132" t="s">
        <v>166</v>
      </c>
      <c r="D14" s="75"/>
    </row>
    <row r="15" spans="1:28" ht="17.25">
      <c r="A15" s="63" t="s">
        <v>42</v>
      </c>
      <c r="B15" s="79">
        <v>10</v>
      </c>
      <c r="C15" s="72" t="s">
        <v>167</v>
      </c>
      <c r="D15" s="74"/>
    </row>
    <row r="16" spans="1:28" ht="17.25">
      <c r="A16" s="63" t="s">
        <v>72</v>
      </c>
      <c r="B16" s="78">
        <v>10</v>
      </c>
      <c r="C16" s="73" t="s">
        <v>168</v>
      </c>
      <c r="D16" s="75"/>
    </row>
    <row r="17" spans="1:4" ht="17.25">
      <c r="A17" s="63" t="s">
        <v>34</v>
      </c>
      <c r="B17" s="79">
        <v>5</v>
      </c>
      <c r="C17" s="131" t="s">
        <v>169</v>
      </c>
      <c r="D17" s="74"/>
    </row>
    <row r="18" spans="1:4" ht="17.25">
      <c r="A18" s="63" t="s">
        <v>44</v>
      </c>
      <c r="B18" s="78">
        <v>10</v>
      </c>
      <c r="C18" s="73" t="s">
        <v>170</v>
      </c>
      <c r="D18" s="75"/>
    </row>
    <row r="19" spans="1:4" ht="17.25">
      <c r="A19" s="63" t="s">
        <v>43</v>
      </c>
      <c r="B19" s="79">
        <v>10</v>
      </c>
      <c r="C19" s="72" t="s">
        <v>171</v>
      </c>
      <c r="D19" s="74"/>
    </row>
    <row r="20" spans="1:4" ht="17.25">
      <c r="A20" s="63" t="s">
        <v>45</v>
      </c>
      <c r="B20" s="78">
        <v>5</v>
      </c>
      <c r="C20" s="131" t="s">
        <v>172</v>
      </c>
      <c r="D20" s="75"/>
    </row>
    <row r="21" spans="1:4" ht="17.25">
      <c r="A21" s="63" t="s">
        <v>46</v>
      </c>
      <c r="B21" s="79">
        <v>10</v>
      </c>
      <c r="C21" s="72" t="s">
        <v>173</v>
      </c>
      <c r="D21" s="74"/>
    </row>
    <row r="22" spans="1:4" ht="17.25">
      <c r="A22" s="63" t="s">
        <v>47</v>
      </c>
      <c r="B22" s="78">
        <v>10</v>
      </c>
      <c r="C22" s="73" t="s">
        <v>174</v>
      </c>
      <c r="D22" s="75"/>
    </row>
    <row r="23" spans="1:4" ht="17.25">
      <c r="A23" s="63" t="s">
        <v>48</v>
      </c>
      <c r="B23" s="79">
        <v>10</v>
      </c>
      <c r="C23" s="72" t="s">
        <v>175</v>
      </c>
      <c r="D23" s="74"/>
    </row>
    <row r="24" spans="1:4" ht="17.25">
      <c r="A24" s="63" t="s">
        <v>78</v>
      </c>
      <c r="B24" s="78">
        <v>5</v>
      </c>
      <c r="C24" s="131" t="s">
        <v>176</v>
      </c>
      <c r="D24" s="75"/>
    </row>
    <row r="25" spans="1:4" ht="17.25">
      <c r="A25" s="63" t="s">
        <v>79</v>
      </c>
      <c r="B25" s="79">
        <v>10</v>
      </c>
      <c r="C25" s="72" t="s">
        <v>177</v>
      </c>
      <c r="D25" s="74"/>
    </row>
    <row r="26" spans="1:4" ht="17.25">
      <c r="A26" s="63" t="s">
        <v>111</v>
      </c>
      <c r="B26" s="78">
        <v>5</v>
      </c>
      <c r="C26" s="131" t="s">
        <v>178</v>
      </c>
      <c r="D26" s="75"/>
    </row>
    <row r="27" spans="1:4" ht="17.25">
      <c r="A27" s="63" t="s">
        <v>110</v>
      </c>
      <c r="B27" s="79">
        <v>5</v>
      </c>
      <c r="C27" s="131" t="s">
        <v>179</v>
      </c>
      <c r="D27" s="74"/>
    </row>
    <row r="28" spans="1:4" ht="17.25">
      <c r="A28" s="63" t="s">
        <v>109</v>
      </c>
      <c r="B28" s="78">
        <v>10</v>
      </c>
      <c r="C28" s="73" t="s">
        <v>180</v>
      </c>
      <c r="D28" s="75"/>
    </row>
    <row r="29" spans="1:4" ht="17.25">
      <c r="A29" s="63" t="s">
        <v>108</v>
      </c>
      <c r="B29" s="79">
        <v>5</v>
      </c>
      <c r="C29" s="131" t="s">
        <v>181</v>
      </c>
      <c r="D29" s="74"/>
    </row>
    <row r="30" spans="1:4" ht="17.25">
      <c r="A30" s="63" t="s">
        <v>107</v>
      </c>
      <c r="B30" s="80">
        <v>5</v>
      </c>
      <c r="C30" s="131" t="s">
        <v>182</v>
      </c>
      <c r="D30" s="68"/>
    </row>
  </sheetData>
  <phoneticPr fontId="14" type="noConversion"/>
  <dataValidations count="1">
    <dataValidation allowBlank="true" prompt="吞吞吐吐他" showErrorMessage="true" showInputMessage="true" sqref="B16:C16"/>
  </dataValidations>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iconSet" priority="1" id="{D97E0F2E-7D04-46E3-B6D0-66B86A3C3DF0}">
            <x14:iconSet iconSet="4Rating" showValue="0" custom="1">
              <x14:cfvo type="percent">
                <xm:f>0</xm:f>
              </x14:cfvo>
              <x14:cfvo type="percent">
                <xm:f>5</xm:f>
              </x14:cfvo>
              <x14:cfvo type="percent">
                <xm:f>8</xm:f>
              </x14:cfvo>
              <x14:cfvo type="num">
                <xm:f>10</xm:f>
              </x14:cfvo>
              <x14:cfIcon iconSet="3Symbols" iconId="0"/>
              <x14:cfIcon iconSet="3Flags" iconId="0"/>
              <x14:cfIcon iconSet="3Symbols" iconId="1"/>
              <x14:cfIcon iconSet="3Symbols" iconId="2"/>
            </x14:iconSet>
          </x14:cfRule>
          <xm:sqref>B2:B30</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D7FAC-338D-40AE-9A03-D56E1C0E6070}">
  <dimension ref="A1:AB48"/>
  <sheetViews>
    <sheetView zoomScaleNormal="100" workbookViewId="0">
      <pane activePane="bottomRight" state="frozen" topLeftCell="B19" xSplit="1" ySplit="2"/>
      <selection activeCell="B3" sqref="B3"/>
      <selection activeCell="B3" pane="topRight" sqref="B3"/>
      <selection activeCell="B3" pane="bottomLeft" sqref="B3"/>
      <selection activeCell="A29" pane="bottomRight" sqref="A29"/>
    </sheetView>
  </sheetViews>
  <sheetFormatPr defaultRowHeight="15.75"/>
  <cols>
    <col bestFit="true" customWidth="true" max="1" min="1" style="64" width="19.25"/>
    <col bestFit="true" customWidth="true" max="2" min="2" style="82" width="7.875"/>
    <col customWidth="true" max="4" min="3" style="45" width="90.625"/>
    <col customWidth="true" max="27" min="5" style="24" width="87.5"/>
    <col max="16384" min="28" style="25" width="9"/>
  </cols>
  <sheetData>
    <row r="1" spans="1:28">
      <c r="A1" s="90" t="s">
        <v>106</v>
      </c>
      <c r="B1" s="90" t="s">
        <v>105</v>
      </c>
      <c r="C1" s="90" t="s">
        <v>160</v>
      </c>
      <c r="D1" s="90"/>
      <c r="AB1" s="24"/>
    </row>
    <row r="2" spans="1:28" ht="17.25">
      <c r="A2" s="63" t="s">
        <v>49</v>
      </c>
      <c r="B2" s="76">
        <v>10</v>
      </c>
      <c r="C2" s="67" t="s">
        <v>156</v>
      </c>
      <c r="D2" s="46"/>
    </row>
    <row r="3" spans="1:28" ht="17.25">
      <c r="A3" s="63" t="s">
        <v>37</v>
      </c>
      <c r="B3" s="77">
        <v>10</v>
      </c>
      <c r="C3" s="70" t="s">
        <v>6</v>
      </c>
      <c r="D3" s="71"/>
      <c r="AB3" s="24"/>
    </row>
    <row r="4" spans="1:28" ht="17.25">
      <c r="A4" s="63" t="s">
        <v>52</v>
      </c>
      <c r="B4" s="78">
        <v>10</v>
      </c>
      <c r="C4" s="73" t="s">
        <v>157</v>
      </c>
      <c r="D4" s="75"/>
    </row>
    <row r="5" spans="1:28" ht="17.25">
      <c r="A5" s="63" t="s">
        <v>61</v>
      </c>
      <c r="B5" s="79">
        <v>10</v>
      </c>
      <c r="C5" s="72" t="s">
        <v>183</v>
      </c>
      <c r="D5" s="74"/>
    </row>
    <row r="6" spans="1:28" ht="17.25">
      <c r="A6" s="63" t="s">
        <v>64</v>
      </c>
      <c r="B6" s="78">
        <v>10</v>
      </c>
      <c r="C6" s="73" t="s">
        <v>158</v>
      </c>
      <c r="D6" s="75"/>
    </row>
    <row r="7" spans="1:28" ht="17.25">
      <c r="A7" s="63" t="s">
        <v>53</v>
      </c>
      <c r="B7" s="79">
        <v>10</v>
      </c>
      <c r="C7" s="72" t="s">
        <v>8</v>
      </c>
      <c r="D7" s="74"/>
    </row>
    <row r="8" spans="1:28" ht="17.25">
      <c r="A8" s="63" t="s">
        <v>54</v>
      </c>
      <c r="B8" s="78">
        <v>10</v>
      </c>
      <c r="C8" s="73" t="s">
        <v>184</v>
      </c>
      <c r="D8" s="75"/>
    </row>
    <row r="9" spans="1:28" ht="17.25">
      <c r="A9" s="63" t="s">
        <v>132</v>
      </c>
      <c r="B9" s="79">
        <v>10</v>
      </c>
      <c r="C9" s="72" t="s">
        <v>159</v>
      </c>
      <c r="D9" s="74"/>
    </row>
    <row r="10" spans="1:28" ht="17.25">
      <c r="A10" s="63" t="s">
        <v>90</v>
      </c>
      <c r="B10" s="78">
        <v>10</v>
      </c>
      <c r="C10" s="73" t="s">
        <v>185</v>
      </c>
      <c r="D10" s="75"/>
    </row>
    <row r="11" spans="1:28" ht="17.25">
      <c r="A11" s="63" t="s">
        <v>55</v>
      </c>
      <c r="B11" s="79">
        <v>10</v>
      </c>
      <c r="C11" s="72" t="s">
        <v>186</v>
      </c>
      <c r="D11" s="74"/>
    </row>
    <row r="12" spans="1:28" ht="17.25">
      <c r="A12" s="63" t="s">
        <v>112</v>
      </c>
      <c r="B12" s="78">
        <v>10</v>
      </c>
      <c r="C12" s="73" t="s">
        <v>187</v>
      </c>
      <c r="D12" s="75"/>
    </row>
    <row r="13" spans="1:28" ht="17.25">
      <c r="A13" s="63" t="s">
        <v>131</v>
      </c>
      <c r="B13" s="79">
        <v>10</v>
      </c>
      <c r="C13" s="72" t="s">
        <v>188</v>
      </c>
      <c r="D13" s="74"/>
    </row>
    <row r="14" spans="1:28" ht="17.25">
      <c r="A14" s="63" t="s">
        <v>56</v>
      </c>
      <c r="B14" s="78">
        <v>10</v>
      </c>
      <c r="C14" s="73" t="s">
        <v>189</v>
      </c>
      <c r="D14" s="75"/>
    </row>
    <row r="15" spans="1:28" ht="17.25">
      <c r="A15" s="63" t="s">
        <v>7</v>
      </c>
      <c r="B15" s="79">
        <v>10</v>
      </c>
      <c r="C15" s="72" t="s">
        <v>13</v>
      </c>
      <c r="D15" s="74"/>
    </row>
    <row r="16" spans="1:28" ht="17.25">
      <c r="A16" s="63" t="s">
        <v>28</v>
      </c>
      <c r="B16" s="78">
        <v>10</v>
      </c>
      <c r="C16" s="73" t="s">
        <v>190</v>
      </c>
      <c r="D16" s="75"/>
    </row>
    <row r="17" spans="1:4" ht="17.25">
      <c r="A17" s="63" t="s">
        <v>113</v>
      </c>
      <c r="B17" s="79">
        <v>10</v>
      </c>
      <c r="C17" s="72" t="s">
        <v>191</v>
      </c>
      <c r="D17" s="74"/>
    </row>
    <row r="18" spans="1:4" ht="17.25">
      <c r="A18" s="63" t="s">
        <v>59</v>
      </c>
      <c r="B18" s="78">
        <v>10</v>
      </c>
      <c r="C18" s="73" t="s">
        <v>192</v>
      </c>
      <c r="D18" s="75"/>
    </row>
    <row r="19" spans="1:4" ht="17.25">
      <c r="A19" s="63" t="s">
        <v>58</v>
      </c>
      <c r="B19" s="79">
        <v>10</v>
      </c>
      <c r="C19" s="72" t="s">
        <v>192</v>
      </c>
      <c r="D19" s="74"/>
    </row>
    <row r="20" spans="1:4" ht="17.25">
      <c r="A20" s="63" t="s">
        <v>60</v>
      </c>
      <c r="B20" s="78">
        <v>10</v>
      </c>
      <c r="C20" s="73" t="s">
        <v>192</v>
      </c>
      <c r="D20" s="75"/>
    </row>
    <row r="21" spans="1:4" ht="17.25">
      <c r="A21" s="63" t="s">
        <v>50</v>
      </c>
      <c r="B21" s="79">
        <v>10</v>
      </c>
      <c r="C21" s="72" t="s">
        <v>192</v>
      </c>
      <c r="D21" s="74"/>
    </row>
    <row r="22" spans="1:4" ht="17.25">
      <c r="A22" s="63" t="s">
        <v>51</v>
      </c>
      <c r="B22" s="78">
        <v>10</v>
      </c>
      <c r="C22" s="73" t="s">
        <v>192</v>
      </c>
      <c r="D22" s="75"/>
    </row>
    <row r="23" spans="1:4" ht="17.25">
      <c r="A23" s="63" t="s">
        <v>116</v>
      </c>
      <c r="B23" s="79">
        <v>10</v>
      </c>
      <c r="C23" s="72" t="s">
        <v>192</v>
      </c>
      <c r="D23" s="74"/>
    </row>
    <row r="24" spans="1:4" ht="17.25">
      <c r="A24" s="63" t="s">
        <v>117</v>
      </c>
      <c r="B24" s="78">
        <v>10</v>
      </c>
      <c r="C24" s="73" t="s">
        <v>192</v>
      </c>
      <c r="D24" s="75"/>
    </row>
    <row r="25" spans="1:4" ht="17.25">
      <c r="A25" s="63" t="s">
        <v>114</v>
      </c>
      <c r="B25" s="79">
        <v>10</v>
      </c>
      <c r="C25" s="72" t="s">
        <v>192</v>
      </c>
      <c r="D25" s="74"/>
    </row>
    <row r="26" spans="1:4" ht="17.25">
      <c r="A26" s="63" t="s">
        <v>115</v>
      </c>
      <c r="B26" s="78">
        <v>10</v>
      </c>
      <c r="C26" s="73" t="s">
        <v>192</v>
      </c>
      <c r="D26" s="75"/>
    </row>
    <row r="27" spans="1:4" ht="17.25">
      <c r="A27" s="63" t="s">
        <v>62</v>
      </c>
      <c r="B27" s="79">
        <v>10</v>
      </c>
      <c r="C27" s="72" t="s">
        <v>193</v>
      </c>
      <c r="D27" s="74"/>
    </row>
    <row r="28" spans="1:4" ht="17.25">
      <c r="A28" s="63" t="s">
        <v>63</v>
      </c>
      <c r="B28" s="78">
        <v>10</v>
      </c>
      <c r="C28" s="73" t="s">
        <v>192</v>
      </c>
      <c r="D28" s="75"/>
    </row>
    <row r="29" spans="1:4" ht="17.25">
      <c r="A29" s="63" t="s">
        <v>118</v>
      </c>
      <c r="B29" s="79">
        <v>10</v>
      </c>
      <c r="C29" s="72" t="s">
        <v>192</v>
      </c>
      <c r="D29" s="74"/>
    </row>
    <row r="30" spans="1:4" ht="17.25">
      <c r="A30" s="63" t="s">
        <v>130</v>
      </c>
      <c r="B30" s="78">
        <v>8</v>
      </c>
      <c r="C30" s="133" t="s">
        <v>194</v>
      </c>
      <c r="D30" s="75"/>
    </row>
    <row r="31" spans="1:4" ht="17.25">
      <c r="A31" s="63" t="s">
        <v>119</v>
      </c>
      <c r="B31" s="79">
        <v>10</v>
      </c>
      <c r="C31" s="72" t="s">
        <v>192</v>
      </c>
      <c r="D31" s="74"/>
    </row>
    <row r="32" spans="1:4" ht="17.25">
      <c r="A32" s="63" t="s">
        <v>120</v>
      </c>
      <c r="B32" s="78">
        <v>10</v>
      </c>
      <c r="C32" s="73" t="s">
        <v>192</v>
      </c>
      <c r="D32" s="75"/>
    </row>
    <row r="33" spans="1:4" ht="17.25">
      <c r="A33" s="63" t="s">
        <v>121</v>
      </c>
      <c r="B33" s="79">
        <v>10</v>
      </c>
      <c r="C33" s="72" t="s">
        <v>192</v>
      </c>
      <c r="D33" s="74"/>
    </row>
    <row r="34" spans="1:4" ht="17.25">
      <c r="A34" s="63" t="s">
        <v>122</v>
      </c>
      <c r="B34" s="78">
        <v>10</v>
      </c>
      <c r="C34" s="73" t="s">
        <v>195</v>
      </c>
      <c r="D34" s="75"/>
    </row>
    <row r="35" spans="1:4" ht="17.25">
      <c r="A35" s="63" t="s">
        <v>123</v>
      </c>
      <c r="B35" s="79">
        <v>10</v>
      </c>
      <c r="C35" s="72" t="s">
        <v>192</v>
      </c>
      <c r="D35" s="74"/>
    </row>
    <row r="36" spans="1:4" ht="17.25">
      <c r="A36" s="63" t="s">
        <v>124</v>
      </c>
      <c r="B36" s="78">
        <v>10</v>
      </c>
      <c r="C36" s="73" t="s">
        <v>196</v>
      </c>
      <c r="D36" s="75"/>
    </row>
    <row r="37" spans="1:4" ht="17.25">
      <c r="A37" s="63" t="s">
        <v>125</v>
      </c>
      <c r="B37" s="79">
        <v>10</v>
      </c>
      <c r="C37" s="72" t="s">
        <v>192</v>
      </c>
      <c r="D37" s="74"/>
    </row>
    <row r="38" spans="1:4" ht="17.25">
      <c r="A38" s="63" t="s">
        <v>126</v>
      </c>
      <c r="B38" s="78">
        <v>10</v>
      </c>
      <c r="C38" s="73" t="s">
        <v>197</v>
      </c>
      <c r="D38" s="75"/>
    </row>
    <row r="39" spans="1:4" ht="17.25">
      <c r="A39" s="63" t="s">
        <v>127</v>
      </c>
      <c r="B39" s="79">
        <v>0</v>
      </c>
      <c r="C39" s="132" t="s">
        <v>192</v>
      </c>
      <c r="D39" s="74"/>
    </row>
    <row r="40" spans="1:4" ht="17.25">
      <c r="A40" s="63" t="s">
        <v>91</v>
      </c>
      <c r="B40" s="78">
        <v>10</v>
      </c>
      <c r="C40" s="73" t="s">
        <v>196</v>
      </c>
      <c r="D40" s="75"/>
    </row>
    <row r="41" spans="1:4" ht="17.25">
      <c r="A41" s="63" t="s">
        <v>91</v>
      </c>
      <c r="B41" s="79">
        <v>10</v>
      </c>
      <c r="C41" s="72" t="s">
        <v>196</v>
      </c>
      <c r="D41" s="74"/>
    </row>
    <row r="42" spans="1:4" ht="17.25">
      <c r="A42" s="63" t="s">
        <v>92</v>
      </c>
      <c r="B42" s="78">
        <v>10</v>
      </c>
      <c r="C42" s="73" t="s">
        <v>196</v>
      </c>
      <c r="D42" s="75"/>
    </row>
    <row r="43" spans="1:4" ht="17.25">
      <c r="A43" s="63" t="s">
        <v>128</v>
      </c>
      <c r="B43" s="79">
        <v>10</v>
      </c>
      <c r="C43" s="72" t="s">
        <v>196</v>
      </c>
      <c r="D43" s="74"/>
    </row>
    <row r="44" spans="1:4" ht="17.25">
      <c r="A44" s="63" t="s">
        <v>93</v>
      </c>
      <c r="B44" s="78">
        <v>10</v>
      </c>
      <c r="C44" s="73" t="s">
        <v>196</v>
      </c>
      <c r="D44" s="75"/>
    </row>
    <row r="45" spans="1:4" ht="17.25">
      <c r="A45" s="63" t="s">
        <v>129</v>
      </c>
      <c r="B45" s="80">
        <v>10</v>
      </c>
      <c r="C45" s="69" t="s">
        <v>196</v>
      </c>
      <c r="D45" s="68"/>
    </row>
    <row r="46"/>
    <row r="47"/>
    <row r="48" spans="1:4">
      <c r="C48" s="66"/>
    </row>
  </sheetData>
  <phoneticPr fontId="14" type="noConversion"/>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iconSet" priority="1" id="{EAAF7DD6-57C5-427F-BD84-B7CA83805024}">
            <x14:iconSet iconSet="4Rating" showValue="0" custom="1">
              <x14:cfvo type="percent">
                <xm:f>0</xm:f>
              </x14:cfvo>
              <x14:cfvo type="num">
                <xm:f>5</xm:f>
              </x14:cfvo>
              <x14:cfvo type="num">
                <xm:f>8</xm:f>
              </x14:cfvo>
              <x14:cfvo type="num">
                <xm:f>10</xm:f>
              </x14:cfvo>
              <x14:cfIcon iconSet="3Symbols" iconId="0"/>
              <x14:cfIcon iconSet="3Flags" iconId="0"/>
              <x14:cfIcon iconSet="3Symbols" iconId="1"/>
              <x14:cfIcon iconSet="3Symbols" iconId="2"/>
            </x14:iconSet>
          </x14:cfRule>
          <xm:sqref>B2:B45</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93CED-92E7-4A64-BF87-00E3B3B76718}">
  <dimension ref="A1:AB22"/>
  <sheetViews>
    <sheetView workbookViewId="0">
      <pane activePane="bottomRight" state="frozen" topLeftCell="B3" xSplit="1" ySplit="2"/>
      <selection activeCell="B1" pane="topRight" sqref="B1"/>
      <selection activeCell="A2" pane="bottomLeft" sqref="A2"/>
      <selection activeCell="C15" pane="bottomRight" sqref="C15"/>
    </sheetView>
  </sheetViews>
  <sheetFormatPr defaultRowHeight="15"/>
  <cols>
    <col bestFit="true" customWidth="true" max="1" min="1" style="65" width="15.125"/>
    <col customWidth="true" max="2" min="2" style="83" width="7.625"/>
    <col customWidth="true" max="4" min="3" style="44" width="100.625"/>
  </cols>
  <sheetData>
    <row r="1" spans="1:28" s="25" customFormat="true" ht="15.75">
      <c r="A1" s="90" t="s">
        <v>106</v>
      </c>
      <c r="B1" s="90" t="s">
        <v>105</v>
      </c>
      <c r="C1" s="90" t="s">
        <v>160</v>
      </c>
      <c r="D1" s="90"/>
      <c r="E1" s="24"/>
      <c r="F1" s="24"/>
      <c r="G1" s="24"/>
      <c r="H1" s="24"/>
      <c r="I1" s="24"/>
      <c r="J1" s="24"/>
      <c r="K1" s="24"/>
      <c r="L1" s="24"/>
      <c r="M1" s="24"/>
      <c r="N1" s="24"/>
      <c r="O1" s="24"/>
      <c r="P1" s="24"/>
      <c r="Q1" s="24"/>
      <c r="R1" s="24"/>
      <c r="S1" s="24"/>
      <c r="T1" s="24"/>
      <c r="U1" s="24"/>
      <c r="V1" s="24"/>
      <c r="W1" s="24"/>
      <c r="X1" s="24"/>
      <c r="Y1" s="24"/>
      <c r="Z1" s="24"/>
      <c r="AA1" s="24"/>
      <c r="AB1" s="24"/>
    </row>
    <row r="2" spans="1:28" ht="17.25">
      <c r="A2" s="63" t="s">
        <v>66</v>
      </c>
      <c r="B2" s="77">
        <v>10</v>
      </c>
      <c r="C2" s="70" t="s">
        <v>156</v>
      </c>
      <c r="D2" s="71"/>
    </row>
    <row r="3" spans="1:28" ht="17.25">
      <c r="A3" s="63" t="s">
        <v>68</v>
      </c>
      <c r="B3" s="78">
        <v>10</v>
      </c>
      <c r="C3" s="73" t="s">
        <v>192</v>
      </c>
      <c r="D3" s="75"/>
    </row>
    <row r="4" spans="1:28" ht="17.25">
      <c r="A4" s="63" t="s">
        <v>71</v>
      </c>
      <c r="B4" s="79">
        <v>10</v>
      </c>
      <c r="C4" s="72" t="s">
        <v>192</v>
      </c>
      <c r="D4" s="74"/>
    </row>
    <row r="5" spans="1:28" ht="17.25">
      <c r="A5" s="63" t="s">
        <v>74</v>
      </c>
      <c r="B5" s="78">
        <v>10</v>
      </c>
      <c r="C5" s="73" t="s">
        <v>192</v>
      </c>
      <c r="D5" s="75"/>
    </row>
    <row r="6" spans="1:28" ht="17.25">
      <c r="A6" s="63" t="s">
        <v>75</v>
      </c>
      <c r="B6" s="79">
        <v>10</v>
      </c>
      <c r="C6" s="92" t="s">
        <v>198</v>
      </c>
      <c r="D6" s="93"/>
    </row>
    <row r="7" spans="1:28" ht="17.25">
      <c r="A7" s="63" t="s">
        <v>140</v>
      </c>
      <c r="B7" s="78">
        <v>10</v>
      </c>
      <c r="C7" s="73" t="s">
        <v>192</v>
      </c>
      <c r="D7" s="75"/>
    </row>
    <row r="8" spans="1:28" s="25" customFormat="true" ht="17.25">
      <c r="A8" s="63" t="s">
        <v>146</v>
      </c>
      <c r="B8" s="112">
        <v>10</v>
      </c>
      <c r="C8" s="113" t="s">
        <v>199</v>
      </c>
      <c r="D8" s="114"/>
      <c r="E8" s="24"/>
      <c r="F8" s="24"/>
      <c r="G8" s="24"/>
      <c r="H8" s="24"/>
      <c r="I8" s="24"/>
      <c r="J8" s="24"/>
      <c r="K8" s="24"/>
      <c r="L8" s="24"/>
      <c r="M8" s="24"/>
      <c r="N8" s="24"/>
      <c r="O8" s="24"/>
      <c r="P8" s="24"/>
      <c r="Q8" s="24"/>
      <c r="R8" s="24"/>
      <c r="S8" s="24"/>
      <c r="T8" s="24"/>
      <c r="U8" s="24"/>
      <c r="V8" s="24"/>
      <c r="W8" s="24"/>
      <c r="X8" s="24"/>
      <c r="Y8" s="24"/>
      <c r="Z8" s="24"/>
      <c r="AA8" s="24"/>
    </row>
    <row r="9" spans="1:28" s="25" customFormat="true" ht="17.25">
      <c r="A9" s="63" t="s">
        <v>145</v>
      </c>
      <c r="B9" s="112">
        <v>10</v>
      </c>
      <c r="C9" s="113" t="s">
        <v>200</v>
      </c>
      <c r="D9" s="114"/>
      <c r="E9" s="24"/>
      <c r="F9" s="24"/>
      <c r="G9" s="24"/>
      <c r="H9" s="24"/>
      <c r="I9" s="24"/>
      <c r="J9" s="24"/>
      <c r="K9" s="24"/>
      <c r="L9" s="24"/>
      <c r="M9" s="24"/>
      <c r="N9" s="24"/>
      <c r="O9" s="24"/>
      <c r="P9" s="24"/>
      <c r="Q9" s="24"/>
      <c r="R9" s="24"/>
      <c r="S9" s="24"/>
      <c r="T9" s="24"/>
      <c r="U9" s="24"/>
      <c r="V9" s="24"/>
      <c r="W9" s="24"/>
      <c r="X9" s="24"/>
      <c r="Y9" s="24"/>
      <c r="Z9" s="24"/>
      <c r="AA9" s="24"/>
    </row>
    <row r="10" spans="1:28" s="25" customFormat="true" ht="17.25">
      <c r="A10" s="63" t="s">
        <v>141</v>
      </c>
      <c r="B10" s="79">
        <v>10</v>
      </c>
      <c r="C10" s="72" t="s">
        <v>201</v>
      </c>
      <c r="D10" s="74"/>
      <c r="E10" s="24"/>
      <c r="F10" s="24"/>
      <c r="G10" s="24"/>
      <c r="H10" s="24"/>
      <c r="I10" s="24"/>
      <c r="J10" s="24"/>
      <c r="K10" s="24"/>
      <c r="L10" s="24"/>
      <c r="M10" s="24"/>
      <c r="N10" s="24"/>
      <c r="O10" s="24"/>
      <c r="P10" s="24"/>
      <c r="Q10" s="24"/>
      <c r="R10" s="24"/>
      <c r="S10" s="24"/>
      <c r="T10" s="24"/>
      <c r="U10" s="24"/>
      <c r="V10" s="24"/>
      <c r="W10" s="24"/>
      <c r="X10" s="24"/>
      <c r="Y10" s="24"/>
      <c r="Z10" s="24"/>
      <c r="AA10" s="24"/>
    </row>
    <row r="11" spans="1:28" ht="17.25">
      <c r="A11" s="63" t="s">
        <v>73</v>
      </c>
      <c r="B11" s="78">
        <v>10</v>
      </c>
      <c r="C11" s="73" t="s">
        <v>202</v>
      </c>
      <c r="D11" s="75"/>
    </row>
    <row r="12" spans="1:28" ht="17.25">
      <c r="A12" s="63" t="s">
        <v>69</v>
      </c>
      <c r="B12" s="79">
        <v>10</v>
      </c>
      <c r="C12" s="92" t="s">
        <v>203</v>
      </c>
      <c r="D12" s="93"/>
    </row>
    <row r="13" spans="1:28" ht="17.25">
      <c r="A13" s="63" t="s">
        <v>67</v>
      </c>
      <c r="B13" s="78">
        <v>10</v>
      </c>
      <c r="C13" s="73" t="s">
        <v>204</v>
      </c>
      <c r="D13" s="75"/>
    </row>
    <row r="14" spans="1:28" ht="17.25">
      <c r="A14" s="63" t="s">
        <v>65</v>
      </c>
      <c r="B14" s="79">
        <v>10</v>
      </c>
      <c r="C14" s="72" t="s">
        <v>205</v>
      </c>
      <c r="D14" s="74"/>
    </row>
    <row r="15" spans="1:28" ht="17.25">
      <c r="A15" s="63" t="s">
        <v>70</v>
      </c>
      <c r="B15" s="78">
        <v>10</v>
      </c>
      <c r="C15" s="73" t="s">
        <v>206</v>
      </c>
      <c r="D15" s="75"/>
    </row>
    <row r="16" spans="1:28" s="25" customFormat="true" ht="17.25">
      <c r="A16" s="63" t="s">
        <v>133</v>
      </c>
      <c r="B16" s="79">
        <v>10</v>
      </c>
      <c r="C16" s="72" t="s">
        <v>207</v>
      </c>
      <c r="D16" s="93"/>
      <c r="E16" s="24"/>
      <c r="F16" s="24"/>
      <c r="G16" s="24"/>
      <c r="H16" s="24"/>
      <c r="I16" s="24"/>
      <c r="J16" s="24"/>
      <c r="K16" s="24"/>
      <c r="L16" s="24"/>
      <c r="M16" s="24"/>
      <c r="N16" s="24"/>
      <c r="O16" s="24"/>
      <c r="P16" s="24"/>
      <c r="Q16" s="24"/>
      <c r="R16" s="24"/>
      <c r="S16" s="24"/>
      <c r="T16" s="24"/>
      <c r="U16" s="24"/>
      <c r="V16" s="24"/>
      <c r="W16" s="24"/>
      <c r="X16" s="24"/>
      <c r="Y16" s="24"/>
      <c r="Z16" s="24"/>
      <c r="AA16" s="24"/>
    </row>
    <row r="17" spans="1:27" ht="17.25">
      <c r="A17" s="63" t="s">
        <v>134</v>
      </c>
      <c r="B17" s="78">
        <v>10</v>
      </c>
      <c r="C17" s="110" t="s">
        <v>208</v>
      </c>
      <c r="D17" s="111"/>
    </row>
    <row r="18" spans="1:27" s="25" customFormat="true" ht="17.25">
      <c r="A18" s="63" t="s">
        <v>139</v>
      </c>
      <c r="B18" s="79">
        <v>10</v>
      </c>
      <c r="C18" s="72" t="s">
        <v>192</v>
      </c>
      <c r="D18" s="74"/>
      <c r="E18" s="24"/>
      <c r="F18" s="24"/>
      <c r="G18" s="24"/>
      <c r="H18" s="24"/>
      <c r="I18" s="24"/>
      <c r="J18" s="24"/>
      <c r="K18" s="24"/>
      <c r="L18" s="24"/>
      <c r="M18" s="24"/>
      <c r="N18" s="24"/>
      <c r="O18" s="24"/>
      <c r="P18" s="24"/>
      <c r="Q18" s="24"/>
      <c r="R18" s="24"/>
      <c r="S18" s="24"/>
      <c r="T18" s="24"/>
      <c r="U18" s="24"/>
      <c r="V18" s="24"/>
      <c r="W18" s="24"/>
      <c r="X18" s="24"/>
      <c r="Y18" s="24"/>
      <c r="Z18" s="24"/>
      <c r="AA18" s="24"/>
    </row>
    <row r="19" spans="1:27" s="25" customFormat="true" ht="17.25">
      <c r="A19" s="63" t="s">
        <v>135</v>
      </c>
      <c r="B19" s="78">
        <v>10</v>
      </c>
      <c r="C19" s="73" t="s">
        <v>192</v>
      </c>
      <c r="D19" s="75"/>
      <c r="E19" s="24"/>
      <c r="F19" s="24"/>
      <c r="G19" s="24"/>
      <c r="H19" s="24"/>
      <c r="I19" s="24"/>
      <c r="J19" s="24"/>
      <c r="K19" s="24"/>
      <c r="L19" s="24"/>
      <c r="M19" s="24"/>
      <c r="N19" s="24"/>
      <c r="O19" s="24"/>
      <c r="P19" s="24"/>
      <c r="Q19" s="24"/>
      <c r="R19" s="24"/>
      <c r="S19" s="24"/>
      <c r="T19" s="24"/>
      <c r="U19" s="24"/>
      <c r="V19" s="24"/>
      <c r="W19" s="24"/>
      <c r="X19" s="24"/>
      <c r="Y19" s="24"/>
      <c r="Z19" s="24"/>
      <c r="AA19" s="24"/>
    </row>
    <row r="20" spans="1:27" ht="17.25">
      <c r="A20" s="63" t="s">
        <v>136</v>
      </c>
      <c r="B20" s="79">
        <v>10</v>
      </c>
      <c r="C20" s="72" t="s">
        <v>209</v>
      </c>
      <c r="D20" s="74"/>
    </row>
    <row r="21" spans="1:27" s="25" customFormat="true" ht="17.25">
      <c r="A21" s="63" t="s">
        <v>137</v>
      </c>
      <c r="B21" s="78">
        <v>10</v>
      </c>
      <c r="C21" s="73" t="s">
        <v>192</v>
      </c>
      <c r="D21" s="75"/>
      <c r="E21" s="24"/>
      <c r="F21" s="24"/>
      <c r="G21" s="24"/>
      <c r="H21" s="24"/>
      <c r="I21" s="24"/>
      <c r="J21" s="24"/>
      <c r="K21" s="24"/>
      <c r="L21" s="24"/>
      <c r="M21" s="24"/>
      <c r="N21" s="24"/>
      <c r="O21" s="24"/>
      <c r="P21" s="24"/>
      <c r="Q21" s="24"/>
      <c r="R21" s="24"/>
      <c r="S21" s="24"/>
      <c r="T21" s="24"/>
      <c r="U21" s="24"/>
      <c r="V21" s="24"/>
      <c r="W21" s="24"/>
      <c r="X21" s="24"/>
      <c r="Y21" s="24"/>
      <c r="Z21" s="24"/>
      <c r="AA21" s="24"/>
    </row>
    <row r="22" spans="1:27" s="25" customFormat="true" ht="17.25">
      <c r="A22" s="63" t="s">
        <v>138</v>
      </c>
      <c r="B22" s="80">
        <v>10</v>
      </c>
      <c r="C22" s="69" t="s">
        <v>192</v>
      </c>
      <c r="D22" s="68"/>
      <c r="E22" s="24"/>
      <c r="F22" s="24"/>
      <c r="G22" s="24"/>
      <c r="H22" s="24"/>
      <c r="I22" s="24"/>
      <c r="J22" s="24"/>
      <c r="K22" s="24"/>
      <c r="L22" s="24"/>
      <c r="M22" s="24"/>
      <c r="N22" s="24"/>
      <c r="O22" s="24"/>
      <c r="P22" s="24"/>
      <c r="Q22" s="24"/>
      <c r="R22" s="24"/>
      <c r="S22" s="24"/>
      <c r="T22" s="24"/>
      <c r="U22" s="24"/>
      <c r="V22" s="24"/>
      <c r="W22" s="24"/>
      <c r="X22" s="24"/>
      <c r="Y22" s="24"/>
      <c r="Z22" s="24"/>
      <c r="AA22" s="24"/>
    </row>
  </sheetData>
  <phoneticPr fontId="14"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1" id="{95F920C0-AED7-425E-818E-31788AE47CF5}">
            <x14:iconSet iconSet="4Rating" showValue="0" custom="1">
              <x14:cfvo type="percent">
                <xm:f>0</xm:f>
              </x14:cfvo>
              <x14:cfvo type="num">
                <xm:f>5</xm:f>
              </x14:cfvo>
              <x14:cfvo type="num">
                <xm:f>8</xm:f>
              </x14:cfvo>
              <x14:cfvo type="num">
                <xm:f>10</xm:f>
              </x14:cfvo>
              <x14:cfIcon iconSet="3Symbols" iconId="0"/>
              <x14:cfIcon iconSet="3Flags" iconId="0"/>
              <x14:cfIcon iconSet="3Symbols" iconId="1"/>
              <x14:cfIcon iconSet="3Symbols" iconId="2"/>
            </x14:iconSet>
          </x14:cfRule>
          <xm:sqref>B2:B22</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00D4997A-F5D7-47B8-8021-08C076C5E1C7}">
  <ds:schemaRefs>
    <ds:schemaRef ds:uri="http://schemas.microsoft.com/sharepoint/v3/contenttype/forms"/>
  </ds:schemaRefs>
</ds:datastoreItem>
</file>

<file path=customXml/itemProps2.xml><?xml version="1.0" encoding="utf-8"?>
<ds:datastoreItem xmlns:ds="http://schemas.openxmlformats.org/officeDocument/2006/customXml" ds:itemID="{98E7F3D6-785F-49FE-8501-BF769B99AE8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D1BB4A4-C009-44B7-9F89-7FA7A7BF749B}">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TM16400501</Template>
  <Application>Microsoft Excel</Application>
  <DocSecurity>0</DocSecurity>
  <ScaleCrop>false</ScaleCrop>
  <HeadingPairs>
    <vt:vector size="4" baseType="variant">
      <vt:variant>
        <vt:lpstr>工作表</vt:lpstr>
      </vt:variant>
      <vt:variant>
        <vt:i4>4</vt:i4>
      </vt:variant>
      <vt:variant>
        <vt:lpstr>命名范围</vt:lpstr>
      </vt:variant>
      <vt:variant>
        <vt:i4>3</vt:i4>
      </vt:variant>
    </vt:vector>
  </HeadingPairs>
  <TitlesOfParts>
    <vt:vector size="7" baseType="lpstr">
      <vt:lpstr>HealthReport</vt:lpstr>
      <vt:lpstr>OS</vt:lpstr>
      <vt:lpstr>DB</vt:lpstr>
      <vt:lpstr>INST</vt:lpstr>
      <vt:lpstr>ColumnTitle1</vt:lpstr>
      <vt:lpstr>HealthReport!Print_Titles</vt:lpstr>
      <vt:lpstr>RowTitleRegion1..C7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keywords/>
  <cp:lastModifiedBy/>
  <dcterms:created xsi:type="dcterms:W3CDTF">2022-11-10T06:32:34Z</dcterms:created>
  <dcterms:modified xsi:type="dcterms:W3CDTF">2025-09-10T03:09:46Z</dcterms:modified>
  <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