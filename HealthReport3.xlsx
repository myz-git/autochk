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_{8B8298E4-B7F5-46FD-AFF0-771193A6D7C4}" xr6:coauthVersionLast="47" xr6:coauthVersionMax="47" xr10:uidLastSave="{00000000-0000-0000-0000-000000000000}"/>
  <bookViews>
    <workbookView xWindow="-120" yWindow="-120" windowWidth="29040" windowHeight="15720" activeTab="3" xr2:uid="{00000000-000D-0000-FFFF-FFFF00000000}"/>
  </bookViews>
  <sheets>
    <sheet name="HealthReport" sheetId="1" r:id="rId1"/>
    <sheet name="OS" sheetId="5" r:id="rId2"/>
    <sheet name="DB" sheetId="6" r:id="rId3"/>
    <sheet name="INST" sheetId="7" r:id="rId4"/>
  </sheets>
  <definedNames>
    <definedName name="ChecklistTotal">SUM(#REF!)</definedName>
    <definedName name="ColumnTitle1">HealthReport!$B$27:$L$39</definedName>
    <definedName name="ColumnTitle2">#REF!</definedName>
    <definedName name="ColumnTitle3">#REF!</definedName>
    <definedName name="_xlnm.Print_Titles" localSheetId="0">HealthReport!$26:$26</definedName>
    <definedName name="RowTitleRegion1..C7">HealthReport!$C$4</definedName>
    <definedName name="SchoolYear">YEAR(TODAY())&amp;" - "&amp;YEAR(TODAY())+1</definedName>
    <definedName name="SumItemsBought">COUNTIF(HealthReport!$L$27:$L$39,"&gt;0")</definedName>
    <definedName name="SumItemsToBuy">COUNTIF(HealthReport!$H$27:$H$39,"&gt;0")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7" i="5" l="1"/>
  <c r="L30" i="1"/>
  <c r="L31" i="1"/>
  <c r="L32" i="1"/>
  <c r="L33" i="1"/>
  <c r="L34" i="1"/>
  <c r="L35" i="1"/>
  <c r="L36" i="1"/>
  <c r="L37" i="1"/>
  <c r="L38" i="1"/>
  <c r="L39" i="1"/>
  <c r="G27" i="1" l="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L26" i="1"/>
  <c r="H13" i="1"/>
  <c r="P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D27" authorId="0" shapeId="0" xr:uid="{9E41461E-B5F3-45AE-9099-A170B522429B}">
      <text>
        <r>
          <rPr>
            <b/>
            <sz val="9"/>
            <color indexed="81"/>
            <rFont val="宋体"/>
            <family val="3"/>
            <charset val="134"/>
          </rPr>
          <t>作者:</t>
        </r>
        <r>
          <rPr>
            <sz val="9"/>
            <color indexed="81"/>
            <rFont val="宋体"/>
            <family val="3"/>
            <charset val="134"/>
          </rPr>
          <t xml:space="preserve">
查看主机负载情况,id为空闲时间百分比,值越高负载越小</t>
        </r>
      </text>
    </comment>
    <comment ref="D28" authorId="0" shapeId="0" xr:uid="{CE8FA50E-BD3B-4973-83DB-480955872E6D}">
      <text>
        <r>
          <rPr>
            <b/>
            <sz val="9"/>
            <color indexed="81"/>
            <rFont val="宋体"/>
            <family val="3"/>
            <charset val="134"/>
          </rPr>
          <t>作者:</t>
        </r>
        <r>
          <rPr>
            <sz val="9"/>
            <color indexed="81"/>
            <rFont val="宋体"/>
            <family val="3"/>
            <charset val="134"/>
          </rPr>
          <t xml:space="preserve">
查看内存是否频繁使用换页SWAP</t>
        </r>
      </text>
    </comment>
    <comment ref="D29" authorId="0" shapeId="0" xr:uid="{BD3948E2-8A4C-436C-A251-46605C2AC180}">
      <text>
        <r>
          <rPr>
            <b/>
            <sz val="9"/>
            <color indexed="81"/>
            <rFont val="宋体"/>
            <family val="3"/>
            <charset val="134"/>
          </rPr>
          <t>作者:</t>
        </r>
        <r>
          <rPr>
            <sz val="9"/>
            <color indexed="81"/>
            <rFont val="宋体"/>
            <family val="3"/>
            <charset val="134"/>
          </rPr>
          <t xml:space="preserve">
查看主机IO及磁盘IO负载情况, 当有磁盘%util 超过85%时说明该磁盘非常繁忙, 需要进一步分析或优化IO负载</t>
        </r>
      </text>
    </comment>
    <comment ref="D30" authorId="0" shapeId="0" xr:uid="{219BEDE6-F20F-41C0-8CEA-3DD317C4798C}">
      <text>
        <r>
          <rPr>
            <b/>
            <sz val="9"/>
            <color indexed="81"/>
            <rFont val="宋体"/>
            <family val="3"/>
            <charset val="134"/>
          </rPr>
          <t>作者:</t>
        </r>
        <r>
          <rPr>
            <sz val="9"/>
            <color indexed="81"/>
            <rFont val="宋体"/>
            <family val="3"/>
            <charset val="134"/>
          </rPr>
          <t xml:space="preserve">
查看文件系统使用率,文件系统使用率小于80%为正常</t>
        </r>
      </text>
    </comment>
    <comment ref="D31" authorId="0" shapeId="0" xr:uid="{6038BBA1-4371-4944-962E-EF8DAAF1E365}">
      <text>
        <r>
          <rPr>
            <b/>
            <sz val="9"/>
            <color indexed="81"/>
            <rFont val="宋体"/>
            <family val="3"/>
            <charset val="134"/>
          </rPr>
          <t>作者:</t>
        </r>
        <r>
          <rPr>
            <sz val="9"/>
            <color indexed="81"/>
            <rFont val="宋体"/>
            <family val="3"/>
            <charset val="134"/>
          </rPr>
          <t xml:space="preserve">
查看文件系统索引资源节点使用率小于80%为正常</t>
        </r>
      </text>
    </comment>
    <comment ref="D32" authorId="0" shapeId="0" xr:uid="{72672DE2-604C-4E12-8D14-22FBCC7B2E8D}">
      <text>
        <r>
          <rPr>
            <b/>
            <sz val="9"/>
            <color indexed="81"/>
            <rFont val="宋体"/>
            <family val="3"/>
            <charset val="134"/>
          </rPr>
          <t>作者:</t>
        </r>
        <r>
          <rPr>
            <sz val="9"/>
            <color indexed="81"/>
            <rFont val="宋体"/>
            <family val="3"/>
            <charset val="134"/>
          </rPr>
          <t xml:space="preserve">
查看主机透明大页配置情况,为提升系统稳定性建议关闭透明在大页</t>
        </r>
      </text>
    </comment>
    <comment ref="D33" authorId="0" shapeId="0" xr:uid="{021971E8-0EF3-4147-A1FE-688FB0860E9A}">
      <text>
        <r>
          <rPr>
            <b/>
            <sz val="9"/>
            <color indexed="81"/>
            <rFont val="宋体"/>
            <family val="3"/>
            <charset val="134"/>
          </rPr>
          <t>作者:</t>
        </r>
        <r>
          <rPr>
            <sz val="9"/>
            <color indexed="81"/>
            <rFont val="宋体"/>
            <family val="3"/>
            <charset val="134"/>
          </rPr>
          <t xml:space="preserve">
查看主机内核参数配置情况</t>
        </r>
      </text>
    </comment>
    <comment ref="D34" authorId="0" shapeId="0" xr:uid="{388B4670-C978-444C-9E73-9808F46CB808}">
      <text>
        <r>
          <rPr>
            <b/>
            <sz val="9"/>
            <color indexed="81"/>
            <rFont val="宋体"/>
            <family val="3"/>
            <charset val="134"/>
          </rPr>
          <t>作者:</t>
        </r>
        <r>
          <rPr>
            <sz val="9"/>
            <color indexed="81"/>
            <rFont val="宋体"/>
            <family val="3"/>
            <charset val="134"/>
          </rPr>
          <t xml:space="preserve">
查看用户主机资源限制配置情况</t>
        </r>
      </text>
    </comment>
    <comment ref="D35" authorId="0" shapeId="0" xr:uid="{C950E487-9BBE-47CD-837E-BFC7232D63DC}">
      <text>
        <r>
          <rPr>
            <b/>
            <sz val="9"/>
            <color indexed="81"/>
            <rFont val="宋体"/>
            <family val="3"/>
            <charset val="134"/>
          </rPr>
          <t>作者:</t>
        </r>
        <r>
          <rPr>
            <sz val="9"/>
            <color indexed="81"/>
            <rFont val="宋体"/>
            <family val="3"/>
            <charset val="134"/>
          </rPr>
          <t xml:space="preserve">
查看主机NUMA状态,NUMA特性会对数据库服务器稳定运行带来非常大的影响,为避免系统性能隐患,建议关闭NUMA</t>
        </r>
      </text>
    </comment>
    <comment ref="D36" authorId="0" shapeId="0" xr:uid="{CAEAB304-D48F-42EF-854C-6ADD0CDE7561}">
      <text>
        <r>
          <rPr>
            <b/>
            <sz val="9"/>
            <color indexed="81"/>
            <rFont val="宋体"/>
            <family val="3"/>
            <charset val="134"/>
          </rPr>
          <t>作者:</t>
        </r>
        <r>
          <rPr>
            <sz val="9"/>
            <color indexed="81"/>
            <rFont val="宋体"/>
            <family val="3"/>
            <charset val="134"/>
          </rPr>
          <t xml:space="preserve">
数据库状态检查主要包括：数据库启动状态,Dataguard保护模式,保护级别,数据库角色等</t>
        </r>
      </text>
    </comment>
    <comment ref="D37" authorId="0" shapeId="0" xr:uid="{25822FDF-1644-4F43-898F-A6C8A5398052}">
      <text>
        <r>
          <rPr>
            <b/>
            <sz val="9"/>
            <color indexed="81"/>
            <rFont val="宋体"/>
            <family val="3"/>
            <charset val="134"/>
          </rPr>
          <t>作者:</t>
        </r>
        <r>
          <rPr>
            <sz val="9"/>
            <color indexed="81"/>
            <rFont val="宋体"/>
            <family val="3"/>
            <charset val="134"/>
          </rPr>
          <t xml:space="preserve">
针对表空间使用率超过80%且剩余空间不足8G,进行预警</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<sst xmlns="http://schemas.openxmlformats.org/spreadsheetml/2006/main" count="281" uniqueCount="261">
  <si>
    <r>
      <rPr>
        <b/>
        <sz val="36"/>
        <color theme="1"/>
        <rFont val="等线"/>
        <family val="2"/>
        <charset val="134"/>
      </rPr>
      <t>健康检查报告</t>
    </r>
    <phoneticPr fontId="14" type="noConversion"/>
  </si>
  <si>
    <t>Server Info</t>
    <phoneticPr fontId="14" type="noConversion"/>
  </si>
  <si>
    <t>DataBase Info</t>
    <phoneticPr fontId="14" type="noConversion"/>
  </si>
  <si>
    <t>主机名</t>
  </si>
  <si>
    <t>系统平台</t>
  </si>
  <si>
    <t>操作系统补丁</t>
  </si>
  <si>
    <t>Solaris[tm] OE (64-bit)</t>
  </si>
  <si>
    <t>SunOS. Oracle Solaris 11.4 SPARC</t>
  </si>
  <si>
    <t>CPU核数</t>
  </si>
  <si>
    <t>CPU频率</t>
  </si>
  <si>
    <t>内存</t>
  </si>
  <si>
    <t>260352 Megabytes</t>
  </si>
  <si>
    <t>APC2DB</t>
  </si>
  <si>
    <t>数据库版本</t>
  </si>
  <si>
    <t>数据库架构</t>
  </si>
  <si>
    <t>SINGLE INSTANCE</t>
  </si>
  <si>
    <t>主备库角色</t>
  </si>
  <si>
    <t>ARCHIVELOG</t>
  </si>
  <si>
    <t>1513.200  GB</t>
  </si>
  <si>
    <t>数据库字符集</t>
  </si>
  <si>
    <t>AMERICAN_AMERICA.US7ASCII</t>
  </si>
  <si>
    <t>数据库名</t>
    <phoneticPr fontId="14" type="noConversion"/>
  </si>
  <si>
    <t>Oracle Database 19c Enterprise</t>
    <phoneticPr fontId="14" type="noConversion"/>
  </si>
  <si>
    <t>PRIMARY,MAXIMUM PERFORMANCE</t>
    <phoneticPr fontId="14" type="noConversion"/>
  </si>
  <si>
    <t>Issue summary</t>
    <phoneticPr fontId="14" type="noConversion"/>
  </si>
  <si>
    <t>数据库集群检查</t>
    <phoneticPr fontId="14" type="noConversion"/>
  </si>
  <si>
    <t>数据库实例分析</t>
    <phoneticPr fontId="14" type="noConversion"/>
  </si>
  <si>
    <t>数据库备份检查</t>
    <phoneticPr fontId="14" type="noConversion"/>
  </si>
  <si>
    <t>数据库安全检查</t>
    <phoneticPr fontId="14" type="noConversion"/>
  </si>
  <si>
    <t>软件使用分析</t>
    <phoneticPr fontId="14" type="noConversion"/>
  </si>
  <si>
    <t>其他项检查</t>
    <phoneticPr fontId="14" type="noConversion"/>
  </si>
  <si>
    <t>重要</t>
    <phoneticPr fontId="14" type="noConversion"/>
  </si>
  <si>
    <t>轻微</t>
    <phoneticPr fontId="14" type="noConversion"/>
  </si>
  <si>
    <t>主机系统分析</t>
    <phoneticPr fontId="14" type="noConversion"/>
  </si>
  <si>
    <t>Issue list</t>
    <phoneticPr fontId="14" type="noConversion"/>
  </si>
  <si>
    <t>No.</t>
    <phoneticPr fontId="14" type="noConversion"/>
  </si>
  <si>
    <t>问题描述及建议</t>
    <phoneticPr fontId="14" type="noConversion"/>
  </si>
  <si>
    <t>问题类别</t>
    <phoneticPr fontId="14" type="noConversion"/>
  </si>
  <si>
    <t>主机系统分析</t>
  </si>
  <si>
    <t>数据库实例分析</t>
  </si>
  <si>
    <t>其他项检查</t>
  </si>
  <si>
    <t>数据库安全检查</t>
  </si>
  <si>
    <t>数据库备份检查</t>
  </si>
  <si>
    <t>检查项</t>
    <phoneticPr fontId="14" type="noConversion"/>
  </si>
  <si>
    <t>DataGuard检查</t>
    <phoneticPr fontId="14" type="noConversion"/>
  </si>
  <si>
    <t>结果</t>
    <phoneticPr fontId="14" type="noConversion"/>
  </si>
  <si>
    <t>内存使用检查</t>
    <phoneticPr fontId="14" type="noConversion"/>
  </si>
  <si>
    <t>文件系统使用率</t>
    <phoneticPr fontId="14" type="noConversion"/>
  </si>
  <si>
    <t>索引资源节点使用率</t>
    <phoneticPr fontId="14" type="noConversion"/>
  </si>
  <si>
    <t>主机透明大页检查</t>
    <phoneticPr fontId="14" type="noConversion"/>
  </si>
  <si>
    <t>内核参数</t>
    <phoneticPr fontId="14" type="noConversion"/>
  </si>
  <si>
    <t>资源限制</t>
    <phoneticPr fontId="14" type="noConversion"/>
  </si>
  <si>
    <t>数据库状态检查</t>
    <phoneticPr fontId="14" type="noConversion"/>
  </si>
  <si>
    <t>表空间使用率</t>
    <phoneticPr fontId="14" type="noConversion"/>
  </si>
  <si>
    <t>影响</t>
    <phoneticPr fontId="14" type="noConversion"/>
  </si>
  <si>
    <t>CPU负载检查</t>
    <phoneticPr fontId="14" type="noConversion"/>
  </si>
  <si>
    <t>磁盘IO负载检查</t>
    <phoneticPr fontId="14" type="noConversion"/>
  </si>
  <si>
    <t>NUMA使用检查</t>
    <phoneticPr fontId="14" type="noConversion"/>
  </si>
  <si>
    <t>普通</t>
    <phoneticPr fontId="14" type="noConversion"/>
  </si>
  <si>
    <t>/apc2db_db/CTL_11g/control01.ctl</t>
  </si>
  <si>
    <t>OWNER                          USER_SIZE_GB
------------------------------ ------------
APCDEV                                48.57
APPQOSSYS                               .00
AUDSYS                                  .00
CIMMGR                              1309.13
DBSFWUSER                               .00
DBSNMP                                  .00
EAPDEV                                  .86
F1MCSAPP                                .01
F2ISSUETAG                             7.08
GSMADMIN_INTERNAL                       .01
MCSAPP                                  .06
MCSMGR                                  .23
ORAAUD                                  .15
OUTLN                                   .00
PERFSTAT9I                              .00
RLTDEV                                 2.69
RTDELT                                  .03
RTDUSER                                 .51
SYS                                    5.89
SYSTEM                                  .03
VCSUSER                                 .00
WMSYS                                   .01
WSSAPP                                  .21
XDB                                     .04</t>
  </si>
  <si>
    <t>GROUP#              THREAD#            SEQUENCE#                   MB ARC STATUS
-------------------- -------------------- -------------------- -------------------- --- ----------
               6.000                1.000              266.000              400.000 YES INACTIVE
               7.000                1.000              267.000              400.000 YES INACTIVE
               8.000                1.000              268.000              400.000 NO  CURRENT
               9.000                1.000              264.000              400.000 YES INACTIVE
              10.000                1.000              265.000              400.000 YES INACTIVE</t>
  </si>
  <si>
    <t>DT         DY      Total  h0  h1  h2  h3  h4  h5  h6  h7  h8  h9 h10 h11 h12 h13 h14 h15 h16 h17 h18 h19 h20 h21 h22 h23
---------- ------- ----- --- --- --- --- --- --- --- --- --- --- --- --- --- --- --- --- --- --- --- --- --- --- --- ---
2023-03-04 Sat        114  23  13  32  31  35  45  20  30  20  33  45  0   0   0   0   0   0   0   0   0   0   0
2023-03-06 Mon         1   1   0   0   0   0   0   0   0   0   0   0   0   0   0   0   0   0   0   0   0   0   0   0   0
2023-03-08 Wed         1   1   0   0   0   0   0   0   0   0   0   0   0   0   0   0   0   0   0   0   0   0   0   0   0
2023-03-10 Fri         1   0   0   0   0   0   0   0   0   1   0   0   0   0   0   0   0   0   0   0   0   0   0   0   0
2023-03-12 Sun         1   0   0   0   0   0   0   1   0   0   0   0   0   0   0   0   0   0   0   0   0   0   0   0   0
2023-03-14 Tue         1   0   0   0   0   0   0   0   0   0   1   0   0   0   0   0   0   0   0   0   0   0   0   0   0
2023-03-16 Thu         1   0   0   0   0   0   0   0   0   0   0   0   1   0   0   0   0   0   0   0   0   0   0   0   0
2023-03-18 Sat         1   0   0   0   0   0   0   0   0   0   0   0   0   0   0   0   0   1   0   0   0   0   0   0   0</t>
  </si>
  <si>
    <t>INST_ID RESOURCE_NAME                  CURRENT_UTILIZATION MAX_UTILIZATION LIMIT_VALUE
------- ------------------------------ ------------------- --------------- ---------------
      1 processes                                     2495            2499       2500
      1 sessions                                       340             474       3776
      1 ges_procs                                        0               0          0
      1 ges_rsv_msgs                                     0               0          0
      1 parallel_max_servers                             6               6      32767</t>
  </si>
  <si>
    <t>Load Profile                    Per Second   Per Transaction  Per Exec  Per Call
~~~~~~~~~~~~~~~            ---------------   --------------- --------- ---------
             DB Time(s):               0.0               0.0      0.00      0.01
              DB CPU(s):               0.0               0.0      0.00      0.00
      Background CPU(s):               0.0               0.5      0.02      0.00
      Redo size (bytes):      31,111,576.3          36,932.7
  Logical read (blocks):              73.9           1,731.3
          Block changes:               7.2             169.1
 Physical read (blocks):               0.0               0.1
Physical write (blocks):               0.6              14.3
       Read IO requests:               0.0               0.1
      Write IO requests:               0.3               6.0
           Read IO (MB):               0.0               0.0
          Write IO (MB):               0.0               0.1
           IM scan rows:               0.0               0.0
Session Logical Read IM:               0.0               0.0
             User calls:               0.2               4.6
           Parses (SQL):               1.1              25.1
      Hard parses (SQL):               0.0               0.9
     SQL Work Area (MB):               0.0               0.3
                 Logons:              30.0               0.1
            User logons:               0.0               0.0
         Executes (SQL):               1.1              25.9
              Rollbacks:               0.0               0.9
           Transactions:               0.0</t>
  </si>
  <si>
    <t>Instance Efficiency Percentages (Target 100%)
~~~~~~~~~~~~~~~~~~~~~~~~~~~~~~~~~~~~~~~~~~~~~
            Buffer Nowait %:   60.00       Redo NoWait %:   60.00
            Buffer  Hit   %:   60.00    In-memory Sort %:  100.00
            Library Hit   %:   65.94        Soft Parse %:   66.55
         Execute to Parse %:    2.81         Latch Hit %:   99.93
Parse CPU to Parse Elapsd %:   53.85     % Non-Parse CPU:   99.95
          Flash Cache Hit %:    0.00</t>
  </si>
  <si>
    <t>Top 10 Foreground Events by Total Wait Time
~~~~~~~~~~~~~~~~~~~~~~~~~~~~~~~~~~~~~~~~~~~
                                           Total Wait       Avg   % DB Wait
Event                                Waits Time (sec)      Wait   time Class
------------------------------ ----------- ---------- --------- ------ --------
SQL*Net message from dblink          1,310        7.3    5.55ms   65.1 Network
DB CPU                                            3.9             35.3
log file sync                            9         .4   46.00ms    3.7 Commit
SQL*Net break/reset to client          524         .1  228.04us    1.1 Applicat
SQL*Net break/reset to dblink          262          0   16.21us     .0 Applicat
PGA memory operation                    69          0   16.13us     .0 Other
SQL*Net message to dblink              786          0  922.39ns     .0 Network
SQL*Net message to client              786          0  745.55ns     .0 Network
Disk file operations I/O                 1          0    7.00us     .0 User I/O
ADR block file read                      0          0               .0 Other</t>
  </si>
  <si>
    <t>OWNER                          TABLE_NAME                     INDEX_NAME                               DEGREE     STATUS
------------------------------ ------------------------------ ---------------------------------------- ---------- --------
APCDEV                         APC_ASML_SPEC_HIS_TABLE        INX_APC_ASML_SPEC_HIS_TABLE              3          VALID
APCDEV                         APC_ASML_SPEC_TABLE            PK_APC_ASML_SPEC_TABLE                   3          VALID
APCDEV                         APC_CANON_SPEC_HIS_TABLE       INX_APC_CANON_HIS_TABLE                  3          VALID
APCDEV                         APC_CANON_SPEC_TABLE           PK_APC_CANON_SPEC_TABLE                  3          VALID
APCDEV                         APC_CONSTANT_TABLE             PK_APC_CONSTANT_TABLE                    3          VALID
APCDEV                         APC_GUI_ACTIVE_VERSION         PK_APC_GUI_ACTIVE_VERSION                3          VALID
APCDEV                         APC_OFFSET_CANON               PK_APC_OFFSET_CANON                      3          VALID
APCDEV                         APC_OFFSET_TABLE               PK_APC_OFFSET_TABLE                      3          VALID
APCDEV                         APC_PROD_LAYER_INFO            PK_PROD_LAYER                            3          VALID
APCDEV                         APC_SPEC_CONSTANT_TABLE        INX_APC_SPEC_CONSTANT_TABLE              3          VALID
APCDEV                         APC_USER_GROUP                 PK_APC_USER_GROUP                        3          VALID
APCDEV                         EQP_SSC_TABLE                  PK_EQP_SSC_TABLE                         3          VALID
APCDEV                         EQP_SSC_TREND_TABLE            PK_EQP_SSC_TREND_TABLE                   3          VALID
APCDEV                         EXPTOOLID_OVL_TABLE            PK_EQP                                   3          VALID
APCDEV                         EXPTOOLID_TABLE                EXPTOOLID_TABLE_NO_CONSTR                3          VALID
APCDEV                         FOCUS_RETICLE_TABLE            PK_FOCUS_RETICLE                         3          VALID
APCDEV                         FOCUS_TABLE                    PK_FOCUS_TABLE                           3          VALID
APCDEV                         LAYER_EDCPLAN_RELATION         LAYER_EDC_UNI                            3          VALID
APCDEV                         LOGI_PROCESS_MS_REPORT         PROD_LAYER                               3          VALID
APCDEV                         LOGI_PROCESS_MS_REPORT         INX_SYSID                                3          VALID
APCDEV                         LOGI_PROCESS_MS_REPORT         LOGILOT_UNIQUE                           3          VALID
APCDEV                         LOOK_UP_TABLE                  PK_LOOK_UP_TABLE                         3          VALID
APCDEV                         LOT_OVL_PIE_TABLE              PK_LOT_OVL_PIE_TABLE                     3          VALID
APCDEV                         OVL_PIE_TABLE_2017BAK          OVL_PIE_INDEX_1                          3          VALID
APCDEV                         OVL_PIE_TABLE_2017BAK          PK_OVL_PIE_TABLE                         3          VALID
APCDEV                         OVL_PRODUCTION_DATA_CANON      INX_OVL_PRODUCTION_DATA_CANON            3          VALID
APCDEV                         PCMBX_ALL_TABLE                PK_PCMBX                                 3          VALID
APCDEV                         PROCESS_CONDITION_CANON        INX_PROCESS_CONDITION_CANON              3          VALID
APCDEV                         PROCESS_INIT_OVL_TABLE         PK_PROCESS_INIT_OVL_TABLE                3          VALID
APCDEV                         PROCESS_INIT_TABLE             PK_PROCESS_INIT_TABLE                    3          VALID
APCDEV                         PROCESS_OVL_REPORT             PK_PROCESS_OVL_REPORT                    3          VALID
APCDEV                         PROCESS_OVL_REPORT             PROCESS_OVL_INDEX1                       3          VALID
APCDEV                         PROCESS_OVL_REPORT             PROD_LAYER_LOTID                         3          VALID
APCDEV                         PROCESS_OVL_REPORT             PROCESS_OVL_REPORT_INX1                  3          VALID
APCDEV                         PRODUCT_TABLE                  PK_PRODUCT_TABLE                         3          VALID
APCDEV                         PROD_OVL_LOOKUP_TABLE          PK_PROD_OVL_LOOKUP_TABLE                 3          VALID
APCDEV                         REWORK_LOT_KEYIN_CANON         PK_REWORK_CANON                          3          VALID
APCDEV                         REWORK_LOT_KEYIN_TABLE         PK_REWORK                                3          VALID
APCDEV                         SCANNER_MONITOR_CANON          PK_SCANNER_MONITOR_CANON                 3          VALID
APCDEV                         SCANNER_MONITOR_TABLE          PK_SCANNER_MONITOR_TABLE                 3          VALID
APCDEV                         SCANNER_PM_TABLE               PK_SCANNER_PM_TABLE                      3          VALID
APCDEV                         SCANNER_STATUS_CANON           PK_SCANNER_STATUS_CANON                  3          VALID
APCDEV                         SCANNER_STATUS_TABLE           PK_SCANNER_STATUS_TABLE                  3          VALID
CIMMGR                         CIM_GROUPS                     PK_CIM_GROUPS                            3          VALID
CIMMGR                         CIM_SYSTEMS                    PK_CIM_SYSTEMS                           3          VALID
CIMMGR                         CIM_SYS_ENTITIES               PK_CIM_SYS_ENTITIES                      3          VALID
CIMMGR                         CIM_SYS_FUNCTIONS              PK_CIM_SYS_FUNCTIONS                     3          VALID
CIMMGR                         CIM_USERS                      PK_CIM_USERS                             3          VALID
CIMMGR                         CIM_USER_GROUPS                PK_CIM_USER_GROUPS                       3          VALID
CIMMGR                         EAP_CFG_GLOBAL_FAB             PK_EAP_CFG_GLOBAL_FAB                    3          VALID
CIMMGR                         EAP_CFG_MODEL_EQP              EAP_CFG_MODEL_EQP_INDEX1                 3          VALID
CIMMGR                         EAP_CFG_MODEL_EQP              PK_EAP_CFG_MODEL_EQP                     3          VALID
CIMMGR                         EAP_CFG_MODEL_EQPTYPE          PK_EAP_CFG_MODEL_EQPTYPE                 3          VALID
CIMMGR                         EAP_CFG_SECONDEQ_EQP           PK_EAP_CFG_SECONDEQ_EQP                  3          VALID
CIMMGR                         EAP_CFG_SERVER_FAB             PK_EAP_CFG_SERVER_FAB                    3          VALID
CIMMGR                         EAP_CFG_WORKSTATION            PK_EAP_CFG_WORKSTATION                   3          VALID
CIMMGR                         EAP_CFG_SMIF                   PK_EAP_CFG_SMIF                          3          VALID
CIMMGR                         EAP_CFG_SERVER                 PK_EAP_CFG_SERVER                        3          VALID
CIMMGR                         RMS_DRAFT_RECIPE_SPEC          PK_RMS_DRAFT_RECIPE_SPEC                 3          VALID
CIMMGR                         RMS_RECIPE_COMPARE_TYPE        PK_RMS_RECIPE_COMPARE_TYPE               3          VALID
CIMMGR                         RMS_RECIPE_FORMAT              PK_RMS_RECIPE_FORMAT                     3          VALID
CIMMGR                         RMS_RECORD_LOCK                PK_RMS_RECORD_LOCK                       3          VALID
CIMMGR                         RMS_RECIPE_MISMATCH_HISTORY    PK_RMS_RECIPE_MISMATCH_HISTORY           3          VALID
CIMMGR                         EMS_PARANAME_TABLE             UK_PARA_INX                              3          VALID
CIMMGR                         EMS_PARANAME_TABLE             PK_EMS_PARANAME_TABLE                    3          VALID
CIMMGR                         EMS_SPEC_TABLE                 PK_EMS_SPEC_TABLE                        3          VALID
CIMMGR                         EMS_SPEC_TABLE                 EMS_SPEC_INDEX1                          3          VALID
CIMMGR                         EMS_SPEC_TABLE                 EMS_SPEC_INDEX2                          3          VALID
CIMMGR                         EMS_SPEC_HISTORY_TABLE         EMS_SPEC_HISTORY_INDEX1                  3          VALID
CIMMGR                         ELS_EQP_INFO                   PK_ELS_EQP_INFO                          3          VALID
CIMMGR                         WRC_USER_ATTRIBUTE             PK_WRC_USER_ATTRIBUTE                    3          VALID
CIMMGR                         WRC_TANK_STATUS                PK_WRC_TANK_STATUS                       3          VALID
CIMMGR                         WRC_RECIPE_TANK                PK_WRC_RECIPE_TANK                       3          VALID
CIMMGR                         WRC_RECIPE_STATUS              PK_WRC_RECIPE_STATUS                     3          VALID
CIMMGR                         RMS_KEYWORDS_FILTER            PK_RMS_KEYWORDS_FILTER                   3          VALID
CIMMGR                         RCP_RECP_RECPGROUP             PK_RCP_RECP_RECPGROUP                    3          VALID
CIMMGR                         RCP_RECP_EXCEPTION             RECP_EXCEPTION                           3          VALID
CIMMGR                         RCP_RECPGROUP_LIST             PK_RCP_RECPGROUP_LIST                    3          VALID
CIMMGR                         RCP_IMP_RECIPE                 PK_PROD_STEQ_STAGE_RECIPE                3          VALID
CIMMGR                         RCP_IMP_INFO                   PK_PROD_STEPSEQ                          3          VALID
CIMMGR                         RCP_EQP_RECPGROUP              CHAM_RECPGRP                             3          VALID
CIMMGR                         RCP_CHAMBER_EQPTYPE            PK_RCP_CHAMBER_EQPTYPE                   3          VALID
CIMMGR                         EQP_PARMSPEC_TABLE_LOG         PK_EQP_PARMSPEC_TABLE_LOG                3          VALID
CIMMGR                         EQP_PARMSPEC_TABLE             PK_EQP_PARMSPEC_TABLE                    3          VALID
CIMMGR                         EAP_MON_LOT_ATTRIBUTES         PK_EAP_MON_LOT_ATTRIBUTES                3          VALID
CIMMGR                         EAP_MON_EQP_ATTRIBUTES         PK_EAP_MON_EQP_ATTRIBUTES                3          VALID
CIMMGR                         ELS_OVL_TABLE                  PK_ELS_OVL_TABLE                         3          VALID
CIMMGR                         SCS_USER_ENTITY_PRIVS          PK_SCS_USER_ENTITY_PRIVS                 3          VALID
CIMMGR                         SCS_USER_SYS_PRIVS             PK_SCS_USER_SYS_PRIVS                    3          VALID
CIMMGR                         RMS_RECIPE_BODY                PK_RMS_RECIPE_BODY                       3          VALID
CIMMGR                         RMS_RECIPE_SPEC                PK_RMS_RECIPE_SPEC                       3          VALID
CIMMGR                         ELS_DYNAMIC_TABLE              PK_ELS_DYNAMIC_TABLE                     3          VALID
CIMMGR                         ELS_DYNAMIC_TABLE              LASTMODIFY_INDX                          3          VALID
CIMMGR                         ELS_DYNAMIC_TABLE              ELS_DYNAMIC_LOTID_INDEX                  3          VALID
CIMMGR                         ELS_DUV_TABLE                  PK_ELS_DUV_TABLE                         3          VALID
CIMMGR                         WSS_RULE_LOG                   WSS_RULE_LOG_INX1                        3          VALID
CIMMGR                         WSS_RULE_LOG                   WSS_RULE_LOG_INX2                        3          VALID
CIMMGR                         WSS_RULE_INFO                  WSS_RULE_INFO_INX1                       3          VALID
CIMMGR                         WSS_RULE_DETAIL                WSS_RULE_DETAIL_INX1                     3          VALID
CIMMGR                         WSS_REPLY_LOG                  WSS_REPLY_LOG_INX1                       3          VALID
CIMMGR                         WSS_REPLY_LOG                  WSS_REPLY_LOG_INX2                       3          VALID
CIMMGR                         PCC_PARA_SPEC                  PK_PCC_PARA_SPEC                         3          VALID
CIMMGR                         PCC_PARA_INFO                  PK_PCC_PARA_INFO                         3          VALID
CIMMGR                         PCC_PARA_INFO                  UNQ_PCC_PARA_INFO                        3          VALID
CIMMGR                         ELS_CDSEM_TABLE                PK_ELS_CDSEM_TABLE                       3          VALID
CIMMGR                         ELS_ADI_TABLE                  PK_ELS_ADI_TABLE                         3          VALID
CIMMGR                         EAP_MON_SPEC_MAPPING           PK_EAP_MON_SPEC_MAPPING                  3          VALID
CIMMGR                         EAP_MON_FLOW_SPEC              PK_EAP_MON_FLOW_SPEC                     3          VALID
WSSAPP                         WSS_REPLY_LOG                  WSS_REPLY_LOG_INX1                       3          VALID
WSSAPP                         WSS_REPLY_LOG                  WSS_REPLY_LOG_INX2                       3          VALID
WSSAPP                         WSS_RULE_DETAIL                WSS_RULE_DETAIL_INX1                     3          VALID
WSSAPP                         WSS_RULE_INFO                  WSS_RULE_INFO_INX1                       3          VALID
WSSAPP                         WSS_RULE_LOG                   WSS_RULE_LOG_INX1                        3          VALID
WSSAPP                         WSS_RULE_LOG                   WSS_RULE_LOG_INX2                        3          VALID
EAPDEV                         EQP_ETCHRATERECIPE_TABLE       PK_EQP_ETCHRATERECIPE_TABLE              3          VALID
EAPDEV                         EQP_METROLOGY_RECIPE_TABLE     PK_EQP_METROLOGY_RECIPE_TABLE            3          VALID
EAPDEV                         EQP_PROCESS_PROD_TABLE         PK_EQP_PROCESS_PROD_TABLE                3          VALID
EAPDEV                         EQP_PROCESS_RECIPE_TABLE       PK_EQP_PROCESS_RECIPE_TABLE              3          VALID
EAPDEV                         SORTER_USER_TABLE              PK_SORTER_USER_TABLE                     3          VALID
F1MCSAPP                       OST_DAILY                      OST_DAILY_INDEX                          3          VALID
F1MCSAPP                       OST_DETAIL                     OST_DETAIL_INDEX                         3          VALID
F1MCSAPP                       SCARREJECTLOT_DETAIL           SCARREJECTLOT_DETAIL_INDEX               3          VALID
F1MCSAPP                       SCARTIMEOUT_INFO_DETAIL        SCARTIMEOUT_INFO_DETAIL_INDEX            3          VALID
F2ISSUETAG                     ISSUETAG_DETAIL                ISSUETAG_DETAIL_INDEX1                   3          VALID
MCSAPP                         OST_DAILY                      OST_DAILY_INDEX                          3          VALID
MCSAPP                         OST_DETAIL                     OST_DETAIL_INDEX                         3          VALID
MCSAPP                         SCARREJECTLOT_DETAIL           SCARREJECTLOT_DETAIL_INDEX               3          VALID
MCSAPP                         SCARTIMEOUT_INFO_DETAIL        SCARTIMEOUT_INFO_DETAIL_INDEX            3          VALID
RLTDEV                         EQP_HISTORY_TABLE              EQP_HISTORY_TABLE_INDEX1                 3          VALID
CIMMGR                         PCC_PARA_MULTISPEC             PK_PCC_PARA_MULTISPEC                    3          VALID
APCDEV                         OVL_PIE_TABLE_BK               OVL_PIE_INDEX22                          3          VALID
CIMMGR                         EMS_LIMIT_CONFIG_TABLE         PK_EMS_LIMIT_CONFIG_TABLE                3          VALID
WSSAPP                         WSS_RESULT_HISTORY             WSS_RESULT_HISTORY_INX1                  3          VALID
WSSAPP                         WSS_RESULT_HISTORY             WSS_RESULT_HISTORY_INX2                  3          VALID
APCDEV                         REWORK_LOT_KEYIN_NIKON         PK_REWORK_NIKON                          3          VALID
APCDEV                         OVL_PIE_TABLE                  OVL_PIE_INDEX_MID_1                      3          VALID
APCDEV                         OVL_PIE_TABLE                  PK_OVL_PIE_TABLE_MID                     3          VALID
CIMMGR                         EMS_AMAT_CENTURA_DATA          EMS_AMAT_CENTURA_D_IX2                   2          N/A
CIMMGR                         EMS_AMAT_CENTURA_OODATA        PK_EMS_AMAT_CENTURA_WAFERINX             2          N/A
CIMMGR                         EMS_AMAT_DPS_METAL_DATA        EMS_DPS_METAL_D_IX2                      2          N/A
CIMMGR                         EMS_AMAT_DPS_METAL_OODATA      PK_EMS_AMAT_DPS_METAL_INX                2          N/A
CIMMGR                         EMS_AMAT_DPS_POLY_DATA         EMS_AMAT_DPS_POLY_D_IX2                  2          N/A
CIMMGR                         EMS_AMAT_DPS_POLY_OODATA       PK_EMS_AMAT_DPS_POLY_INX                 2          N/A
CIMMGR                         EMS_AMAT_EMAX_DATA             EMS_AMAT_EMAX_D_IX2                      2          N/A
CIMMGR                         EMS_AMAT_EMAX_OODATA           PK_EMS_AMAT_EMAX_WAFERINX                2          N/A
CIMMGR                         EMS_AMAT_ENDURA_DATA           EMS_AMAT_ENDURA_D_IX2                    2          N/A
CIMMGR                         EMS_AMAT_ENDURA_OODATA         PK_EMS_AMAT_ENDURA_WAFERINX              2          N/A
CIMMGR                         EMS_AMAT_MIRRA_DATA            EMS_AMAT_MIRRA_D_IX2                     2          N/A
CIMMGR                         EMS_AMAT_MIRRA_OODATA          PK_EMS_AMAT_MIRRA_WAFERINX               2          N/A
CIMMGR                         EMS_AMAT_PRODUCER_DATA         EMS_AMAT_PRODUCER_D_IX2                  2          N/A
CIMMGR                         EMS_AMAT_PRODUCER_OODATA       PK_EMS_AMAT_PRODUCER_WAFERINX            2          N/A
CIMMGR                         EMS_AMAT_QUANTUM_DATA          EMS_AMAT_QUANTUM_D_IX2                   2          N/A
CIMMGR                         EMS_AMAT_QUANTUM_LEAP_DATA     EMS_AMAT_QUANTUM_LEAP_D_IX2              2          N/A
CIMMGR                         EMS_AMAT_QUANTUM_LEAP_OODATA   PK_EMS_AMAT_QUANTUM_LEAP_INX             2          N/A
CIMMGR                         EMS_AMAT_QUANTUM_OODATA        PK_EMS_AMAT_QUANTUM_WAFERINX             2          N/A
CIMMGR                         EMS_AMAT_RTP_DATA              EMS_AMAT_RTP_D_IX2                       2          N/A
CIMMGR                         EMS_AMAT_RTP_OODATA            PK_EMS_AMAT_RTP_WAFERINX                 2          N/A
CIMMGR                         EMS_AMAT_SUPERE_DATA           EMS_AMAT_SUPERE_D_IX2                    2          N/A
CIMMGR                         EMS_AMAT_SUPERE_OODATA         PK_EMS_AMAT_SUPERE_WAFERINX              2          N/A
CIMMGR                         EMS_ASML_INLINE_1400_DATA      EMS_ASML_INLINE_1400_D_IX2               2          N/A
CIMMGR                         EMS_ASML_INLINE_1400_OODATA    PK_EMS_ASML_INLINE_1400_INX              2          N/A
CIMMGR                         EMS_ASML_INLINE_DATA           EMS_ASML_INLINE_D_IX2                    2          N/A
CIMMGR                         EMS_ASML_INLINE_OODATA         PK_EMS_ASML_INLINE_WAFERINX              2          N/A
CIMMGR                         EMS_ASM_FURNACE_DATA           EMS_ASM_FURNACE_D_IX2                    2          N/A
CIMMGR                         EMS_ASM_FURNACE_OODATA         PK_EMS_ASM_FURNACE_WAFERINX              2          N/A
CIMMGR                         EMS_AXCELIS_GEMINI_DATA        EMS_AXCELIS_GEMINI_D_IX2                 2          N/A
CIMMGR                         EMS_AXCELIS_GEMINI_OODATA      PK_EMS_AXCELIS_GEMINI_INX                2          N/A
CIMMGR                         EMS_AXCELIS_GSD200E2_DATA      EMS_AXCELIS_GSD200E2_D_IX2               2          N/A
CIMMGR                         EMS_AXCELIS_GSD200E2_OODATA    PK_EMS_AXCELIS_GSD200E2_INX              2          N/A
CIMMGR                         EMS_AXCELIS_XE_DATA            EMS_AXCELIS_XE_D_IX2                     2          N/A
CIMMGR                         EMS_CANON_INLINE_DATA          EMS_CANON_INLINE_D_IX2                   2          N/A
CIMMGR                         EMS_CANON_INLINE_OODATA        PK_EMS_CANON_INLINE_WAFERINX             2          N/A
CIMMGR                         EMS_CETC_HJP200_DATA           EMS_CETC_HJP200_D_IX2                    2          N/A
CIMMGR                         EMS_DNS_WS820_DATA             EMS_DNS_WS820_D_IX2                      2          N/A
CIMMGR                         EMS_DNS_WS820_OODATA           PK_EMS_DNS_WS820_WAFERINX                2          N/A
CIMMGR                         EMS_KE_FURNACE_DATA            EMS_KE_FURNACE_D_IX2                     2          N/A
CIMMGR                         EMS_KE_FURNACE_OODATA          PK_EMS_KE_FURNACE_INX                    2          N/A
CIMMGR                         EMS_LAM_2300_DATA              EMS_LAM_2300_D_IX2                       2          N/A
CIMMGR                         EMS_LAM_2300_OODATA            PK_EMS_LAM_2300_WAFERINX                 2          N/A
CIMMGR                         EMS_LAM_9400A_DATA             EMS_LAM_9400A_D_IX2                      2          N/A
CIMMGR                         EMS_LAM_9400_DATA              EMS_LAM_9400_D_IX2                       2          N/A
CIMMGR                         EMS_LAM_9400_OODATA            PK_EMS_LAM_9400_WAFERINX                 2          N/A
CIMMGR                         EMS_LAM_9600A_DATA             EMS_LAM_9600A_D_IX2                      2          N/A
CIMMGR                         EMS_LAM_9600_DATA              EMS_LAM_9600_D_IX2                       2          N/A
CIMMGR                         EMS_LAM_9600_OODATA            PK_EMS_LAM_9600_WAFERINX                 2          N/A
CIMMGR                         EMS_LAM_EXCELAN_DATA           EMS_LAM_EXCELAN_D_IX2                    2          N/A
CIMMGR                         EMS_LAM_EXCELAN_OODATA         PK_EMS_LAM_EXCELAN_WAFERINX              2          N/A
CIMMGR                         EMS_LMN_MARKER_DATA            EMS_LMN_MARKER_D_IX2                     2          N/A
CIMMGR                         EMS_LMN_MARKER_OODATA          PK_EMS_LMN_MARKER_WAFERINX               2          N/A
CIMMGR                         EMS_MATTSON_ASPEN_DATA         EMS_MATTSON_ASPEN_D_IX2                  2          N/A
CIMMGR                         EMS_MATTSON_ASPEN_OODATA       PK_EMS_MATTSON_ASPEN_WAFERINX            2          N/A
CIMMGR                         EMS_MATTSON_AWP3GEN_DATA       EMS_MATTSON_AWP3GEN_D_IX2                2          N/A
CIMMGR                         EMS_MATTSON_AWP3GEN_OODATA     PK_EMS_MATTSON_AWP3GEN_INX               2          N/A
CIMMGR                         EMS_NISSIN_2000AH_DATA         EMS_NISSIN_2000AH_D_IX2                  2          N/A
CIMMGR                         EMS_NISSIN_2000AH_OODATA       PK_EMS_NISSIN_2000AH_INX                 2          N/A
CIMMGR                         EMS_NISSIN_EX2300_DATA         EMS_NISSIN_EX2300_D_IX2                  2          N/A
CIMMGR                         EMS_NISSIN_EX2300_OODATA       PK_EMS_NISSIN_EX2300_WAFERINX            2          N/A
CIMMGR                         EMS_NOVELLOUS_GAMMAR_DATA      EMS_NOVELLOUS_GAMMAR_D_IX2               2          N/A
CIMMGR                         EMS_NOVELLOUS_GAMMAR_OODATA    PK_EMS_NOVELLOUS_GAMMAR_INX              2          N/A
CIMMGR                         EMS_NOVELLUS_C2_DATA           EMS_NOVELLUS_C2_D_IX2                    2          N/A
CIMMGR                         EMS_NOVELLUS_C2_OODATA         PK_EMS_NOVELLUS_C2_WAFERINX              2          N/A
CIMMGR                         EMS_PIOTECH_PF300T_DATA        EMS_PIOTECH_PF300T_D_IX2                 2          N/A
CIMMGR                         EMS_PROZ_ASMLXT_DATA           EMS_PROZ_ASMLXT_D_IX2                    2          N/A
CIMMGR                         EMS_SES_BW2000_OODATA          PK_EMS_SES_BW2000_WAFERINX               2          N/A
CIMMGR                         EMS_SES_PEAGUS_OODATA          PK_EMS_SES_PEAGUS_WAFERINX               2          N/A
CIMMGR                         EMS_SES_PEGASUS_DATA           EMS_SES_PEAGSUS_DATA_INX2                2          N/A
CIMMGR                         EMS_SES_PEGASUS_OODATA         PK_EMS_SES_PEGASUS_WAFERINX              2          N/A
CIMMGR                         EMS_SEZ_SP223_DATA             EMS_SEZ_SP223_D_IX2                      2          N/A
CIMMGR                         EMS_SEZ_SP223_OODATA           PK_EMS_SEZ_SP223_WAFERINX                2          N/A
CIMMGR                         EMS_SHIBAURA_CDE80_DATA        EMS_SHIBAURA_CDE80_D_IX2                 2          N/A
CIMMGR                         EMS_SHIBAURA_CDE80_OODATA      PK_EMS_SHIBAURA_CDE80_INX                2          N/A
CIMMGR                         EMS_TEL_8S_DATA                EMS_TEL_8S_D_IX2                         2          N/A
CIMMGR                         EMS_TEL_8S_OODATA              PK_EMS_TEL_8S_WAFERINX                   2          N/A
CIMMGR                         EMS_TEL_ACT8_DATA              EMS_TEL_ACT8_D_IX2                       2          N/A
CIMMGR                         EMS_TEL_ACT8_OODATA            PK_EMS_TEL_ACT8_WAFERINX                 2          N/A
CIMMGR                         EMS_TEL_DRM_DATA               EMS_TEL_DRM_D_IX2                        2          N/A
CIMMGR                         EMS_TEL_DRM_OODATA             PK_EMS_TEL_DRM_WAFERINX                  2          N/A
CIMMGR                         EMS_TEL_FURNANCE_DATA          EMS_TEL_FURNANCE_D_IX2                   2          N/A
CIMMGR                         EMS_TEL_FURNANCE_OODATA        PK_EMS_TEL_FURNANCE_WAFERINX             2          N/A
CIMMGR                         EMS_TEL_FURNANCE_PLUS_DATA     EMS_TEL_FURNANCE_PLUS_D_IX2              2          N/A
CIMMGR                         EMS_TEL_FURNANCE_PLUS_OODATA   PK_EMS_TEL_FURNANCE_PLUS_INX             2          N/A
CIMMGR                         EMS_TEL_GCIB_DATA              EMS_TEL_GCIB_D_IX2                       2          N/A
CIMMGR                         EMS_TEL_MARK8_DATA             EMS_TEL_MARK8_D_IX2                      2          N/A
CIMMGR                         EMS_TEL_MARK8_OODATA           PK_EMS_TEL_MARK8_WAFERINX                2          N/A
CIMMGR                         EMS_TEL_MB2_DATA               EMS_TEL_MB2_D_IX2                        2          N/A
CIMMGR                         EMS_TEL_MB2_OODATA             PK_EMS_TEL_MB2_WAFERINX                  2          N/A
CIMMGR                         EMS_TEL_UNITYEP_DATA           EMS_TEL_UNITYEP_D_IX2                    2          N/A
CIMMGR                         EMS_TEL_UNITYEP_OODATA         PK_EMS_TEL_UNITYEP_WAFERINX              2          N/A
CIMMGR                         EMS_USHIO_UV_DATA              EMS_USHIO_UV_D_IX2                       2          N/A
CIMMGR                         EMS_VARIAN_VIISTA810_DATA      EMS_VARIAN_VIISTA810_D_IX2               2          N/A
CIMMGR                         WSS_RESULT_HISTORY             WSS_RESULT_HISTORY_INX1                  3          VALID
APCDEV                         APC_NIKON_SPEC_HIS_TABLE       INX_APC_NIKON_HIS_TABLE                  3          VALID
APCDEV                         APC_NIKON_SPEC_TABLE           PK_APC_NIKON_SPEC_TABLE                  3          VALID
APCDEV                         APC_OFFSET_NIKON               PK_APC_OFFSET_NIKON                      3          VALID
APCDEV                         OVL_PRODUCTION_DATA_NIKON      INX_OVL_PRODUCTION_DATA_NIKON            3          VALID
APCDEV                         PROCESS_CONDITION_NIKON        INX_PROCESS_CONDITION_NIKON              3          VALID
APCDEV                         SCANNER_STATUS_NIKON           PK_SCANNER_STATUS_NIKON                  3          VALID</t>
  </si>
  <si>
    <t>SEQUENCE_OWNER                 CNT_LESS_200
------------------------------ ------------
CIMMGR                                   35
MCSMGR                                   24
GSMADMIN_INTERNAL                        16
WSSAPP                                    1
RLTDEV                                    1
RTDUSER                                   1</t>
  </si>
  <si>
    <t>NAME                                          SPACE_LIMIT       SPACE_USED SPACE_RECLAIMABLE  NUMBER_OF_FILES               CON_ID
---------------------------------------- ---------------- ---------------- ----------------- ---------------- --------------------
/apc2db_arc/flashback/apc2db              322,122,547,200       26,689,536                 0                1                 .000</t>
  </si>
  <si>
    <t>FILE_TYPE                                PERCENT_SPACE_USED PERCENT_SPACE_RECLAIMABLE  NUMBER_OF_FILES               CON_ID
---------------------------------------- ------------------ ------------------------- ---------------- --------------------
CONTROL FILE                                             91                         0                0                 .000
REDO LOG                                                  0                         0                0                 .000
ARCHIVED LOG                                              0                         0                0                 .000
BACKUP PIECE                                              0                         0                1                 .000
IMAGE COPY                                                0                         0                0                 .000
FLASHBACK LOG                                             0                         0                0                 .000
FOREIGN ARCHIVED LOG                                      0                         0                0                 .000
AUXILIARY DATAFILE COPY                                   0                         0                0                 .000</t>
  </si>
  <si>
    <t>GRANTEE                        GRANTED_ROLE    ADMIN_OPTION
------------------------------ --------------- --------------------
SYS                            DBA             YES
SYSTEM                         DBA             YES</t>
  </si>
  <si>
    <t>SEGMENT_NAME    SIZE_IN_MEGABYTES TABLESPACE_NAME
--------------- ----------------- ------------------------------
AUD$                      1280.00 AUDIT_TS
FGA_LOG$                      .06 SYSTEM</t>
  </si>
  <si>
    <t>COUNT(*)
--------------------
                .000</t>
  </si>
  <si>
    <t>OWNER                          TABLESPACE_NAME                SEGMENT_NAME                   SEGMENT_TYPE
------------------------------ ------------------------------ ------------------------------ ------------------------------
GSMADMIN_INTERNAL              SYSTEM                         SHARD_TS                       TABLE
GSMADMIN_INTERNAL              SYSTEM                         SYS_C00946932                  INDEX</t>
  </si>
  <si>
    <t>USERNAME                       PROFILE              RESOURCE_NAME                  RESOURCE_T LIMIT
------------------------------ -------------------- ------------------------------ ---------- ------------------------------
SPLUNKAUDIT                    DEFAULT              FAILED_LOGIN_ATTEMPTS          PASSWORD   UNLIMITED
ORAAUD                         DEFAULT              FAILED_LOGIN_ATTEMPTS          PASSWORD   UNLIMITED
EAPDISSCS                      DEFAULT              FAILED_LOGIN_ATTEMPTS          PASSWORD   UNLIMITED
PERFSTAT                       DEFAULT              FAILED_LOGIN_ATTEMPTS          PASSWORD   UNLIMITED
DPA4ORACLE                     DEFAULT              FAILED_LOGIN_ATTEMPTS          PASSWORD   UNLIMITED
ITILUSER                       DEFAULT              FAILED_LOGIN_ATTEMPTS          PASSWORD   UNLIMITED
APCDEV                         DEFAULT              FAILED_LOGIN_ATTEMPTS          PASSWORD   UNLIMITED
WSSAPP                         DEFAULT              FAILED_LOGIN_ATTEMPTS          PASSWORD   UNLIMITED
AMSAPP                         DEFAULT              FAILED_LOGIN_ATTEMPTS          PASSWORD   UNLIMITED
EAPDEV                         DEFAULT              FAILED_LOGIN_ATTEMPTS          PASSWORD   UNLIMITED
F2ISSUETAG                     DEFAULT              FAILED_LOGIN_ATTEMPTS          PASSWORD   UNLIMITED
MCSAPP                         DEFAULT              FAILED_LOGIN_ATTEMPTS          PASSWORD   UNLIMITED
F1MCSAPP                       DEFAULT              FAILED_LOGIN_ATTEMPTS          PASSWORD   UNLIMITED
RLTDEV                         DEFAULT              FAILED_LOGIN_ATTEMPTS          PASSWORD   UNLIMITED
CIMRPT                         DEFAULT              FAILED_LOGIN_ATTEMPTS          PASSWORD   UNLIMITED
SCSAPP                         DEFAULT              FAILED_LOGIN_ATTEMPTS          PASSWORD   UNLIMITED
CIMMGR                         DEFAULT              FAILED_LOGIN_ATTEMPTS          PASSWORD   UNLIMITED
RTDUSER                        DEFAULT              FAILED_LOGIN_ATTEMPTS          PASSWORD   UNLIMITED
EAPQUERY                       DEFAULT              FAILED_LOGIN_ATTEMPTS          PASSWORD   UNLIMITED
RCPAPP                         DEFAULT              FAILED_LOGIN_ATTEMPTS          PASSWORD   UNLIMITED
PERFSTAT9I                     DEFAULT              FAILED_LOGIN_ATTEMPTS          PASSWORD   UNLIMITED
VCSUSER                        DEFAULT              FAILED_LOGIN_ATTEMPTS          PASSWORD   UNLIMITED
F2REPUSER                      DEFAULT              FAILED_LOGIN_ATTEMPTS          PASSWORD   UNLIMITED
YMSEAP2                        DEFAULT              FAILED_LOGIN_ATTEMPTS          PASSWORD   UNLIMITED
EMSAPP                         DEFAULT              FAILED_LOGIN_ATTEMPTS          PASSWORD   UNLIMITED
ALSAPP                         DEFAULT              FAILED_LOGIN_ATTEMPTS          PASSWORD   UNLIMITED
CIMCFG                         DEFAULT              FAILED_LOGIN_ATTEMPTS          PASSWORD   UNLIMITED
PSCAPP                         DEFAULT              FAILED_LOGIN_ATTEMPTS          PASSWORD   UNLIMITED
MESUSER                        DEFAULT              FAILED_LOGIN_ATTEMPTS          PASSWORD   UNLIMITED
EAPSA                          DEFAULT              FAILED_LOGIN_ATTEMPTS          PASSWORD   UNLIMITED
RMSAPP                         DEFAULT              FAILED_LOGIN_ATTEMPTS          PASSWORD   UNLIMITED
RTDELT                         DEFAULT              FAILED_LOGIN_ATTEMPTS          PASSWORD   UNLIMITED
MCSMGR                         SESS_100             FAILED_LOGIN_ATTEMPTS          PASSWORD   DEFAULT</t>
  </si>
  <si>
    <t>--------------------------------------------------------------
ScnHealthCheck
--------------------------------------------------------------
Current Date: 2023/03/22 16:41:14
Current SCN:   10046958859857
Version:       19.0.0.0.0
--------------------------------------------------------------
Result: C - SCN Headroom is good
Apply the latest recommended patches
based on your maintenance schedule
For further information review MOS document id 1393363.1
--------------------------------------------------------------</t>
  </si>
  <si>
    <t xml:space="preserve">       Health  Report</t>
    <phoneticPr fontId="14" type="noConversion"/>
  </si>
  <si>
    <t>bbb</t>
    <phoneticPr fontId="14" type="noConversion"/>
  </si>
  <si>
    <t>NODE1.HOSTNAME</t>
    <phoneticPr fontId="14" type="noConversion"/>
  </si>
  <si>
    <t>10.224.209.155</t>
    <phoneticPr fontId="14" type="noConversion"/>
  </si>
  <si>
    <t>10.224.209.156</t>
    <phoneticPr fontId="14" type="noConversion"/>
  </si>
  <si>
    <t>主机名</t>
    <phoneticPr fontId="14" type="noConversion"/>
  </si>
  <si>
    <t>HOSTNAME</t>
    <phoneticPr fontId="14" type="noConversion"/>
  </si>
  <si>
    <t>OS</t>
    <phoneticPr fontId="14" type="noConversion"/>
  </si>
  <si>
    <t>RELVER</t>
    <phoneticPr fontId="14" type="noConversion"/>
  </si>
  <si>
    <t>CORES</t>
    <phoneticPr fontId="14" type="noConversion"/>
  </si>
  <si>
    <t>CPUCOUNT</t>
    <phoneticPr fontId="14" type="noConversion"/>
  </si>
  <si>
    <t>CPUMHZ</t>
    <phoneticPr fontId="14" type="noConversion"/>
  </si>
  <si>
    <t>MEMTOTAL</t>
    <phoneticPr fontId="14" type="noConversion"/>
  </si>
  <si>
    <t>SWAPTOTAL</t>
    <phoneticPr fontId="14" type="noConversion"/>
  </si>
  <si>
    <t>OSPARAMETER</t>
    <phoneticPr fontId="14" type="noConversion"/>
  </si>
  <si>
    <t>ULIMIT</t>
    <phoneticPr fontId="14" type="noConversion"/>
  </si>
  <si>
    <t>IPADDR</t>
    <phoneticPr fontId="14" type="noConversion"/>
  </si>
  <si>
    <t>DBMAA</t>
    <phoneticPr fontId="14" type="noConversion"/>
  </si>
  <si>
    <t>OSLOG</t>
    <phoneticPr fontId="14" type="noConversion"/>
  </si>
  <si>
    <t>FILESYSTEM</t>
    <phoneticPr fontId="14" type="noConversion"/>
  </si>
  <si>
    <t>INODEUSAGE</t>
    <phoneticPr fontId="14" type="noConversion"/>
  </si>
  <si>
    <t>内存使用</t>
    <phoneticPr fontId="14" type="noConversion"/>
  </si>
  <si>
    <t>CPUSTAT</t>
    <phoneticPr fontId="14" type="noConversion"/>
  </si>
  <si>
    <t>MEMSTAT</t>
    <phoneticPr fontId="14" type="noConversion"/>
  </si>
  <si>
    <t>IOSTAT</t>
    <phoneticPr fontId="14" type="noConversion"/>
  </si>
  <si>
    <t>THPSTAT</t>
    <phoneticPr fontId="14" type="noConversion"/>
  </si>
  <si>
    <t>HUGPAGE</t>
    <phoneticPr fontId="14" type="noConversion"/>
  </si>
  <si>
    <t>NUMA</t>
    <phoneticPr fontId="14" type="noConversion"/>
  </si>
  <si>
    <t>NTP</t>
    <phoneticPr fontId="14" type="noConversion"/>
  </si>
  <si>
    <t>TMZONE</t>
    <phoneticPr fontId="14" type="noConversion"/>
  </si>
  <si>
    <t>RPM_FIREFOX</t>
    <phoneticPr fontId="14" type="noConversion"/>
  </si>
  <si>
    <t>RPM_FREETYPE</t>
    <phoneticPr fontId="14" type="noConversion"/>
  </si>
  <si>
    <t>RPM_GHOSTSCRIPT</t>
    <phoneticPr fontId="14" type="noConversion"/>
  </si>
  <si>
    <t>RPM_SAMBA</t>
    <phoneticPr fontId="14" type="noConversion"/>
  </si>
  <si>
    <t>RPM_OPENVMTOOLS</t>
    <phoneticPr fontId="14" type="noConversion"/>
  </si>
  <si>
    <t>IP地址</t>
    <phoneticPr fontId="14" type="noConversion"/>
  </si>
  <si>
    <t>系统日志</t>
    <phoneticPr fontId="14" type="noConversion"/>
  </si>
  <si>
    <t>数据库架构</t>
    <phoneticPr fontId="14" type="noConversion"/>
  </si>
  <si>
    <t>系统版本</t>
    <phoneticPr fontId="14" type="noConversion"/>
  </si>
  <si>
    <t>操作系统</t>
    <phoneticPr fontId="14" type="noConversion"/>
  </si>
  <si>
    <t>CPU</t>
    <phoneticPr fontId="14" type="noConversion"/>
  </si>
  <si>
    <t>CPU数量</t>
    <phoneticPr fontId="14" type="noConversion"/>
  </si>
  <si>
    <t>CPU主频</t>
    <phoneticPr fontId="14" type="noConversion"/>
  </si>
  <si>
    <t>内存</t>
    <phoneticPr fontId="14" type="noConversion"/>
  </si>
  <si>
    <t>交换分区</t>
    <phoneticPr fontId="14" type="noConversion"/>
  </si>
  <si>
    <t>ULIMIT限制</t>
    <phoneticPr fontId="14" type="noConversion"/>
  </si>
  <si>
    <t>索引资源使用率</t>
    <phoneticPr fontId="14" type="noConversion"/>
  </si>
  <si>
    <t>透明大页</t>
    <phoneticPr fontId="14" type="noConversion"/>
  </si>
  <si>
    <t>磁盘IO负载</t>
    <phoneticPr fontId="14" type="noConversion"/>
  </si>
  <si>
    <t>系统大页</t>
    <phoneticPr fontId="14" type="noConversion"/>
  </si>
  <si>
    <t>NUMA使用</t>
    <phoneticPr fontId="14" type="noConversion"/>
  </si>
  <si>
    <t>时钟同步</t>
    <phoneticPr fontId="14" type="noConversion"/>
  </si>
  <si>
    <t>时区</t>
    <phoneticPr fontId="14" type="noConversion"/>
  </si>
  <si>
    <t>RPM包-FIREFOX</t>
    <phoneticPr fontId="14" type="noConversion"/>
  </si>
  <si>
    <t>RPM包-FREETYPE</t>
    <phoneticPr fontId="14" type="noConversion"/>
  </si>
  <si>
    <t>RPM包-GHOSTSCRIPT</t>
    <phoneticPr fontId="14" type="noConversion"/>
  </si>
  <si>
    <t>RPM包-SAMBA</t>
    <phoneticPr fontId="14" type="noConversion"/>
  </si>
  <si>
    <t>RPM包-OPENVMTOOLS</t>
    <phoneticPr fontId="14" type="noConversion"/>
  </si>
  <si>
    <t>rac19c1,rac19c2</t>
    <phoneticPr fontId="14" type="noConversion"/>
  </si>
  <si>
    <t xml:space="preserve"> 1.1.1.191 1.1.1.190 1.1.1.192 1.1.1.193 1.1.1.194 </t>
    <phoneticPr fontId="14" type="noConversion"/>
  </si>
  <si>
    <t>数据库名称</t>
    <phoneticPr fontId="14" type="noConversion"/>
  </si>
  <si>
    <t>DBNAME</t>
    <phoneticPr fontId="14" type="noConversion"/>
  </si>
  <si>
    <t>DBVER</t>
    <phoneticPr fontId="14" type="noConversion"/>
  </si>
  <si>
    <t>TMPFILE_SIZE</t>
    <phoneticPr fontId="14" type="noConversion"/>
  </si>
  <si>
    <t>OWNER_SIZE</t>
    <phoneticPr fontId="14" type="noConversion"/>
  </si>
  <si>
    <t>USER_INFO</t>
    <phoneticPr fontId="14" type="noConversion"/>
  </si>
  <si>
    <t>FLASHBACK</t>
    <phoneticPr fontId="14" type="noConversion"/>
  </si>
  <si>
    <t>数据库日志检查</t>
    <phoneticPr fontId="14" type="noConversion"/>
  </si>
  <si>
    <t>DBFLASHRECOVERYUSEAGE</t>
    <phoneticPr fontId="14" type="noConversion"/>
  </si>
  <si>
    <t>闪回区使用</t>
    <phoneticPr fontId="14" type="noConversion"/>
  </si>
  <si>
    <t>DBCRSCHECK</t>
    <phoneticPr fontId="14" type="noConversion"/>
  </si>
  <si>
    <t>集群状态</t>
    <phoneticPr fontId="14" type="noConversion"/>
  </si>
  <si>
    <t>ASM使用率</t>
    <phoneticPr fontId="14" type="noConversion"/>
  </si>
  <si>
    <t>LOGMODE</t>
    <phoneticPr fontId="14" type="noConversion"/>
  </si>
  <si>
    <t>DBTOTALSIZE</t>
    <phoneticPr fontId="14" type="noConversion"/>
  </si>
  <si>
    <t>DBFILECOUNT</t>
    <phoneticPr fontId="14" type="noConversion"/>
  </si>
  <si>
    <t>DBTBLCOUNT</t>
    <phoneticPr fontId="14" type="noConversion"/>
  </si>
  <si>
    <t>DBROLE</t>
    <phoneticPr fontId="14" type="noConversion"/>
  </si>
  <si>
    <t>DBTBSUSAGE</t>
    <phoneticPr fontId="14" type="noConversion"/>
  </si>
  <si>
    <t>DBDATAFILE</t>
    <phoneticPr fontId="14" type="noConversion"/>
  </si>
  <si>
    <t>数据文件大小检查</t>
    <phoneticPr fontId="14" type="noConversion"/>
  </si>
  <si>
    <t>DATAFILE_SIZE</t>
    <phoneticPr fontId="14" type="noConversion"/>
  </si>
  <si>
    <t>TAB_INFO</t>
    <phoneticPr fontId="14" type="noConversion"/>
  </si>
  <si>
    <t>DBREDOCHECK</t>
    <phoneticPr fontId="14" type="noConversion"/>
  </si>
  <si>
    <t>DBRESOURCE</t>
    <phoneticPr fontId="14" type="noConversion"/>
  </si>
  <si>
    <t>DBRMANCHECK</t>
    <phoneticPr fontId="14" type="noConversion"/>
  </si>
  <si>
    <t>DBDGLAGCHECK</t>
    <phoneticPr fontId="14" type="noConversion"/>
  </si>
  <si>
    <t>并行度&gt;1的表</t>
    <phoneticPr fontId="14" type="noConversion"/>
  </si>
  <si>
    <t>DBTABLEPARALLEL</t>
    <phoneticPr fontId="14" type="noConversion"/>
  </si>
  <si>
    <t>DBINDEXPARALLEL</t>
    <phoneticPr fontId="14" type="noConversion"/>
  </si>
  <si>
    <t>DBSEQUENCE</t>
    <phoneticPr fontId="14" type="noConversion"/>
  </si>
  <si>
    <t>DB_SEQ_USAGE</t>
    <phoneticPr fontId="14" type="noConversion"/>
  </si>
  <si>
    <t>DBSTATUS</t>
    <phoneticPr fontId="14" type="noConversion"/>
  </si>
  <si>
    <t>DBOPTION</t>
    <phoneticPr fontId="14" type="noConversion"/>
  </si>
  <si>
    <t>DBFEATURES</t>
    <phoneticPr fontId="14" type="noConversion"/>
  </si>
  <si>
    <t>DBLANG</t>
    <phoneticPr fontId="14" type="noConversion"/>
  </si>
  <si>
    <t>DBPARAMETER</t>
    <phoneticPr fontId="14" type="noConversion"/>
  </si>
  <si>
    <t>DB_CURSORMEM</t>
    <phoneticPr fontId="14" type="noConversion"/>
  </si>
  <si>
    <t>DB_EXPIR_USER</t>
    <phoneticPr fontId="14" type="noConversion"/>
  </si>
  <si>
    <t>DB_PASSWORD_VERIF</t>
    <phoneticPr fontId="14" type="noConversion"/>
  </si>
  <si>
    <t>DBA权限用户检查</t>
    <phoneticPr fontId="14" type="noConversion"/>
  </si>
  <si>
    <t>DBDBAPRIV</t>
    <phoneticPr fontId="14" type="noConversion"/>
  </si>
  <si>
    <t>SYSDBA权限用户检查</t>
    <phoneticPr fontId="14" type="noConversion"/>
  </si>
  <si>
    <t>DBSYSDBA</t>
    <phoneticPr fontId="14" type="noConversion"/>
  </si>
  <si>
    <t>数据库审计空间检查</t>
    <phoneticPr fontId="14" type="noConversion"/>
  </si>
  <si>
    <t>DBAUDITSEGMENT</t>
    <phoneticPr fontId="14" type="noConversion"/>
  </si>
  <si>
    <t>数据库审计对象检查</t>
    <phoneticPr fontId="14" type="noConversion"/>
  </si>
  <si>
    <t>DBAUDITCONT</t>
    <phoneticPr fontId="14" type="noConversion"/>
  </si>
  <si>
    <t>DBINVALIDOBJECT</t>
    <phoneticPr fontId="14" type="noConversion"/>
  </si>
  <si>
    <t>DBINVALIDINDEX</t>
    <phoneticPr fontId="14" type="noConversion"/>
  </si>
  <si>
    <t>DBCONTROLFILE</t>
    <phoneticPr fontId="14" type="noConversion"/>
  </si>
  <si>
    <t>DB_NOSYS_IN_SYSTEM</t>
    <phoneticPr fontId="14" type="noConversion"/>
  </si>
  <si>
    <t>DBRECOVERYDEST</t>
    <phoneticPr fontId="14" type="noConversion"/>
  </si>
  <si>
    <t>DBPRODUCTUSERFAILEDLOGIN</t>
    <phoneticPr fontId="14" type="noConversion"/>
  </si>
  <si>
    <t>DBVIRSCHECK</t>
    <phoneticPr fontId="14" type="noConversion"/>
  </si>
  <si>
    <t>SCNHealthCheck检查</t>
    <phoneticPr fontId="14" type="noConversion"/>
  </si>
  <si>
    <t>DBSCNHEALTHCHECK</t>
    <phoneticPr fontId="14" type="noConversion"/>
  </si>
  <si>
    <t>DBASMUSAGE</t>
    <phoneticPr fontId="14" type="noConversion"/>
  </si>
  <si>
    <t>并行度&gt;1的索引</t>
    <phoneticPr fontId="14" type="noConversion"/>
  </si>
  <si>
    <t>数据库版本</t>
    <phoneticPr fontId="14" type="noConversion"/>
  </si>
  <si>
    <t>是否开启归档</t>
    <phoneticPr fontId="14" type="noConversion"/>
  </si>
  <si>
    <t>是否开启闪回</t>
    <phoneticPr fontId="14" type="noConversion"/>
  </si>
  <si>
    <t>数据库总大小GB</t>
    <phoneticPr fontId="14" type="noConversion"/>
  </si>
  <si>
    <t>数据文件数量</t>
    <phoneticPr fontId="14" type="noConversion"/>
  </si>
  <si>
    <t>表数量</t>
    <phoneticPr fontId="14" type="noConversion"/>
  </si>
  <si>
    <t>主备库角色</t>
    <phoneticPr fontId="14" type="noConversion"/>
  </si>
  <si>
    <t>数据文件状态检查</t>
    <phoneticPr fontId="14" type="noConversion"/>
  </si>
  <si>
    <t>FILE_NAME                                                                        STATUS         CUR_GB AUT     MAX_GB
-------------------------------------------------------------------------------- ---------- ---------- --- ----------
+DATA/RACDB/DATAFILE/sysaux.258.1205668119                                       AVAILABLE        1.21 YES         32
+DATA/RACDB/DATAFILE/system.257.1205668083                                       AVAILABLE        1.08 YES         32
+DATA/RACDB/DATAFILE/undotbs1.259.1205668145                                     AVAILABLE           1 YES         32
+DATA/RACDB/DATAFILE/undotbs2.270.1205669557                                     AVAILABLE         .05 YES         32
+DATA/RACDB/DATAFILE/users.260.1205668147                                        AVAILABLE           0 YES         32
5 rows selected.</t>
    <phoneticPr fontId="14" type="noConversion"/>
  </si>
  <si>
    <t>FILE_NAME                                                              STATUS                   CUR_GB AUT               MAX_GB
---------------------------------------------------------------------- ---------- -------------------- --- --------------------
/apc2db_db/db_11g/APF_TBS01.dbf                                        AVAILABLE                  .550 YES                6.060
/apc2db_db/db_11g/APF_TBS_BK01.dbf                                     AVAILABLE                  .200 YES                6.060
/apc2db_db/db_11g/AUDIT_TS_01.dbf                                      AVAILABLE                 1.660 YES                6.350
/apc2db_db/db_11g/CIM_LOB_DTS_01.dbf                                   AVAILABLE                 3.910 YES                6.060
/apc2db_db/db_11g/CIM_LOB_DTS_02.dbf                                   AVAILABLE                 3.220 YES                6.060
/apc2db_db/db_11g/MCS_8M_DTS_01.dbf                                    AVAILABLE                  .200 YES                6.060
/apc2db_db/db_11g/MCS_8M_DTS_02.dbf                                    AVAILABLE                  .200 YES                6.060
/apc2db_db/db_11g/MCS_8M_DTS_03.dbf                                    AVAILABLE                  .200 YES                6.060
/apc2db_db/db_11g/MCS_8M_DTS_04.dbf                                    AVAILABLE                  .200 YES                6.060
/apc2db_db/db_11g/N_APCDEV01.dbf                                       AVAILABLE                 6.060 YES                6.060
/apc2db_db/db_11g/N_APCDEV02.dbf                                       AVAILABLE                 6.060 YES                6.060
/apc2db_db/db_11g/N_APCDEV03.dbf                                       AVAILABLE                 6.060 YES                6.060
/apc2db_db/db_11g/N_APCDEV04.dbf                                       AVAILABLE                 6.060 YES                6.060
/apc2db_db/db_11g/N_APCDEV05.dbf                                       AVAILABLE                 6.060 YES                6.060
/apc2db_db/db_11g/N_APCDEV06.dbf                                       AVAILABLE                 6.060 YES                6.060
/apc2db_db/db_11g/N_APCDEV07.dbf                                       AVAILABLE                 6.060 YES                6.060
/apc2db_db/db_11g/N_APCDEV08.dbf                                       AVAILABLE                 5.810 YES                5.910
/apc2db_db/db_11g/N_APCDEV09.dbf                                       AVAILABLE                 2.640 YES                6.060
/apc2db_db/db_11g/N_CIM_100M_DTS_01.dbf                                AVAILABLE                 6.060 YES                6.060
/apc2db_db/db_11g/N_CIM_100M_DTS_02.dbf                                AVAILABLE                 6.060 YES                6.060
/apc2db_db/db_11g/N_CIM_100M_DTS_03.dbf                                AVAILABLE                 6.060 YES                6.060
/apc2db_db/db_11g/N_CIM_100M_DTS_04.dbf                                AVAILABLE                 6.060 YES                6.060
/apc2db_db/db_11g/N_CIM_100M_DTS_05.dbf                                AVAILABLE                 6.060 YES                6.060
/apc2db_db/db_11g/N_CIM_100M_DTS_06.dbf                                AVAILABLE                 6.060 YES                6.060
/apc2db_db/db_11g/N_CIM_100M_DTS_07.dbf                                AVAILABLE                 6.060 YES                6.060
/apc2db_db/db_11g/N_CIM_100M_DTS_08.dbf                                AVAILABLE                 6.060 YES                6.060
/apc2db_db/db_11g/N_CIM_100M_DTS_09.dbf                                AVAILABLE                 6.060 YES                6.060
/apc2db_db/db_11g/N_CIM_100M_DTS_10.dbf                                AVAILABLE                 6.060 YES                6.060
/apc2db_db/db_11g/N_CIM_100M_DTS_11.dbf                                AVAILABLE                 6.060 YES                6.060
/apc2db_db/db_11g/N_CIM_100M_DTS_12.dbf                                AVAILABLE                 6.060 YES                6.060
/apc2db_db/db_11g/N_CIM_100M_DTS_13.dbf                                AVAILABLE                 6.060 YES                6.060
/apc2db_db/db_11g/N_CIM_100M_DTS_14.dbf                                AVAILABLE                 6.060 YES                6.060
/apc2db_db/db_11g/N_CIM_100M_DTS_15.dbf                                AVAILABLE                 6.060 YES                6.060
/apc2db_db/db_11g/N_CIM_100M_DTS_16.dbf                                AVAILABLE                 6.060 YES                6.060
/apc2db_db/db_11g/N_CIM_100M_DTS_17.dbf                                AVAILABLE                 6.060 YES                6.060
/apc2db_db/db_11g/N_CIM_100M_DTS_18.dbf                                AVAILABLE                 6.060 YES                6.060
/apc2db_db/db_11g/N_CIM_100M_DTS_19.dbf                                AVAILABLE                 6.060 YES                6.060
/apc2db_db/db_11g/N_CIM_100M_DTS_20.dbf                                AVAILABLE                 6.060 YES                6.060
/apc2db_db/db_11g/N_CIM_100M_DTS_21.dbf                                AVAILABLE                 6.060 YES                6.060
/apc2db_db/db_11g/N_CIM_100M_DTS_22.dbf                                AVAILABLE                 6.060 YES                6.060
/apc2db_db/db_11g/N_CIM_100M_DTS_23.dbf                                AVAILABLE                 6.060 YES                6.060
/apc2db_db/db_11g/N_CIM_100M_DTS_24.dbf                                AVAILABLE                 6.060 YES                6.060
/apc2db_db/db_11g/N_CIM_100M_DTS_25.dbf                                AVAILABLE                 6.060 YES                6.060
/apc2db_db/db_11g/N_CIM_100M_DTS_26.dbf                                AVAILABLE                 6.060 YES                6.060
/apc2db_db/db_11g/N_CIM_100M_DTS_27.dbf                                AVAILABLE                 6.060 YES                6.060
/apc2db_db/db_11g/N_CIM_100M_DTS_28.dbf                                AVAILABLE                 6.060 YES                6.060
/apc2db_db/db_11g/N_CIM_100M_DTS_29.dbf                                AVAILABLE                 6.060 YES                6.060
/apc2db_db/db_11g/N_CIM_100M_DTS_30.dbf                                AVAILABLE                 6.060 YES                6.060
/apc2db_db/db_11g/N_CIM_100M_DTS_31.dbf                                AVAILABLE                 6.060 YES                6.060
/apc2db_db/db_11g/N_CIM_100M_DTS_32.dbf                                AVAILABLE                 6.060 YES                6.060
/apc2db_db/db_11g/N_CIM_100M_DTS_33.dbf                                AVAILABLE                 6.060 YES                6.060
/apc2db_db/db_11g/N_CIM_100M_DTS_34.dbf                                AVAILABLE                 6.060 YES                6.060
/apc2db_db/db_11g/N_CIM_100M_DTS_35.dbf                                AVAILABLE                 6.060 YES                6.060
/apc2db_db/db_11g/N_CIM_100M_DTS_36.dbf                                AVAILABLE                 6.060 YES                6.060
/apc2db_db/db_11g/N_CIM_100M_DTS_37.dbf                                AVAILABLE                 6.060 YES                6.060
/apc2db_db/db_11g/N_CIM_100M_DTS_38.dbf                                AVAILABLE                 6.060 YES                6.060
/apc2db_db/db_11g/N_CIM_100M_DTS_39.dbf                                AVAILABLE                 6.060 YES                6.060
/apc2db_db/db_11g/N_CIM_100M_DTS_40.dbf                                AVAILABLE                 4.590 YES                6.060
/apc2db_db/db_11g/N_CIM_100M_DTS_41.dbf                                AVAILABLE                 4.590 YES                6.060
/apc2db_db/db_11g/N_CIM_100M_DTS_42.dbf                                AVAILABLE                 2.930 YES                6.060
/apc2db_db/db_11g/N_CIM_100M_DTS_43.dbf                                AVAILABLE                 2.930 YES                6.060
/apc2db_db/db_11g/N_CIM_100M_DTS_44.dbf                                AVAILABLE                 1.370 YES                6.060
/apc2db_db/db_11g/N_CIM_100M_DTS_45.dbf                                AVAILABLE                 1.370 YES                6.060
/apc2db_db/db_11g/N_CIM_100M_ITS_01.dbf                                AVAILABLE                 2.540 YES                6.060
/apc2db_db/db_11g/N_CIM_100M_ITS_02.dbf                                AVAILABLE                  .780 YES                6.060
/apc2db_db/db_11g/N_CIM_128K_DTS_01.dbf                                AVAILABLE                 5.760 YES                6.060
/apc2db_db/db_11g/N_CIM_128K_DTS_02.dbf                                AVAILABLE                 5.370 YES                6.060
/apc2db_db/db_11g/N_CIM_128K_ITS_01.dbf                                AVAILABLE                 3.810 YES                6.060
/apc2db_db/db_11g/N_CIM_128K_ITS_02.dbf                                AVAILABLE                 3.520 YES                6.060
/apc2db_db/db_11g/N_CIM_1M_DTS_01.dbf                                  AVAILABLE                 6.060 YES                6.060
/apc2db_db/db_11g/N_CIM_1M_DTS_02.dbf                                  AVAILABLE                 6.060 YES                6.060
/apc2db_db/db_11g/N_CIM_1M_DTS_03.dbf                                  AVAILABLE                 5.910 YES                5.910
/apc2db_db/db_11g/N_CIM_1M_DTS_04.dbf                                  AVAILABLE                 6.060 YES                6.060
/apc2db_db/db_11g/N_CIM_1M_DTS_05.dbf                                  AVAILABLE                 6.060 YES                6.060
/apc2db_db/db_11g/N_CIM_1M_DTS_06.dbf                                  AVAILABLE                 4.490 YES                6.060
/apc2db_db/db_11g/N_CIM_1M_DTS_07.dbf                                  AVAILABLE                  .590 YES                6.060
/apc2db_db/db_11g/N_CIM_1M_ITS_01.dbf                                  AVAILABLE                 6.060 YES                6.060
/apc2db_db/db_11g/N_CIM_1M_ITS_02.dbf                                  AVAILABLE                 6.060 YES                6.060
/apc2db_db/db_11g/N_CIM_1M_ITS_03.dbf                                  AVAILABLE                 6.060 YES                6.060
/apc2db_db/db_11g/N_CIM_1M_ITS_04.dbf                                  AVAILABLE                 6.060 YES                6.060
/apc2db_db/db_11g/N_CIM_1M_ITS_05.dbf                                  AVAILABLE                 6.060 YES                6.060
/apc2db_db/db_11g/N_CIM_1M_ITS_06.dbf                                  AVAILABLE                 6.060 YES                6.060
/apc2db_db/db_11g/N_CIM_1M_ITS_07.dbf                                  AVAILABLE                 6.060 YES                6.060
/apc2db_db/db_11g/N_CIM_1M_ITS_08.dbf                                  AVAILABLE                 6.060 YES                6.060
/apc2db_db/db_11g/N_CIM_1M_ITS_09.dbf                                  AVAILABLE                 6.060 YES                6.060
/apc2db_db/db_11g/N_CIM_1M_ITS_10.dbf                                  AVAILABLE                 6.060 YES                6.060
/apc2db_db/db_11g/N_CIM_1M_ITS_11.dbf                                  AVAILABLE                 6.060 YES                6.060
/apc2db_db/db_11g/N_CIM_1M_ITS_12.dbf                                  AVAILABLE                 6.060 YES                6.060
/apc2db_db/db_11g/N_CIM_1M_ITS_13.dbf                                  AVAILABLE                 6.060 YES                6.060
/apc2db_db/db_11g/N_CIM_1M_ITS_14.dbf                                  AVAILABLE                 6.060 YES                6.060
/apc2db_db/db_11g/N_CIM_1M_ITS_15.dbf                                  AVAILABLE                 6.060 YES                6.060
/apc2db_db/db_11g/N_CIM_1M_ITS_16.dbf                                  AVAILABLE                 6.060 YES                6.060
/apc2db_db/db_11g/N_CIM_1M_ITS_17.dbf                                  AVAILABLE                 6.060 YES                6.060
/apc2db_db/db_11g/N_CIM_1M_ITS_18.dbf                                  AVAILABLE                 6.060 YES                6.060
/apc2db_db/db_11g/N_CIM_1M_ITS_19.dbf                                  AVAILABLE                 6.060 YES                6.060
/apc2db_db/db_11g/N_CIM_1M_ITS_20.dbf                                  AVAILABLE                 6.060 YES                6.060
/apc2db_db/db_11g/N_CIM_1M_ITS_21.dbf                                  AVAILABLE                 6.060 YES                6.060
/apc2db_db/db_11g/N_CIM_1M_ITS_22.dbf                                  AVAILABLE                 6.060 YES                6.060
/apc2db_db/db_11g/N_CIM_1M_ITS_23.dbf                                  AVAILABLE                 6.060 YES                6.060
/apc2db_db/db_11g/N_CIM_1M_ITS_24.dbf                                  AVAILABLE                 6.060 YES                6.060
/apc2db_db/db_11g/N_CIM_1M_ITS_25.dbf                                  AVAILABLE                 6.060 YES                6.060
/apc2db_db/db_11g/N_CIM_1M_ITS_26.dbf                                  AVAILABLE                 6.060 YES                6.060
/apc2db_db/db_11g/N_CIM_1M_ITS_27.dbf                                  AVAILABLE                 6.060 YES                6.060
/apc2db_db/db_11g/N_CIM_1M_ITS_28.dbf                                  AVAILABLE                 6.060 YES                6.060
/apc2db_db/db_11g/N_CIM_1M_ITS_29.dbf                                  AVAILABLE                 6.060 YES                6.060
/apc2db_db/db_11g/N_CIM_1M_ITS_30.dbf                                  AVAILABLE                 6.060 YES                6.060
/apc2db_db/db_11g/N_CIM_1M_ITS_31.dbf                                  AVAILABLE                 6.060 YES                6.060
/apc2db_db/db_11g/N_CIM_1M_ITS_32.dbf                                  AVAILABLE                 6.060 YES                6.060
/apc2db_db/db_11g/N_CIM_1M_ITS_33.dbf                                  AVAILABLE                 6.060 YES                6.060
/apc2db_db/db_11g/N_CIM_1M_ITS_34.dbf                                  AVAILABLE                 6.060 YES                6.060
/apc2db_db/db_11g/N_CIM_1M_ITS_35.dbf                                  AVAILABLE                 6.060 YES                6.060
/apc2db_db/db_11g/N_CIM_1M_ITS_36.dbf                                  AVAILABLE                 6.060 YES                6.060
/apc2db_db/db_11g/N_CIM_1M_ITS_37.dbf                                  AVAILABLE                 6.060 YES                6.060
/apc2db_db/db_11g/N_CIM_1M_ITS_38.dbf                                  AVAILABLE                 6.060 YES                6.060
/apc2db_db/db_11g/N_CIM_1M_ITS_39.dbf                                  AVAILABLE                 6.060 YES                6.060
/apc2db_db/db_11g/N_CIM_1M_ITS_40.dbf                                  AVAILABLE                 5.910 YES                5.910
/apc2db_db/db_11g/N_CIM_1M_ITS_41.dbf                                  AVAILABLE                 5.910 YES                5.910
/apc2db_db/db_11g/N_CIM_1M_ITS_42.dbf                                  AVAILABLE                 5.910 YES                5.910
/apc2db_db/db_11g/N_CIM_1M_ITS_43.dbf                                  AVAILABLE                 6.060 YES                6.060
/apc2db_db/db_11g/N_CIM_1M_ITS_44.dbf                                  AVAILABLE                 6.060 YES                6.060
/apc2db_db/db_11g/N_CIM_1M_ITS_45.dbf                                  AVAILABLE                 5.910 YES                5.910
/apc2db_db/db_11g/N_CIM_1M_ITS_46.dbf                                  AVAILABLE                 5.910 YES                5.910
/apc2db_db/db_11g/N_CIM_1M_ITS_47.dbf                                  AVAILABLE                 6.060 YES                6.060
/apc2db_db/db_11g/N_CIM_1M_ITS_48.dbf                                  AVAILABLE                 6.060 YES                6.060
/apc2db_db/db_11g/N_CIM_1M_ITS_49.dbf                                  AVAILABLE                 6.060 YES                6.060
/apc2db_db/db_11g/N_CIM_1M_ITS_50.dbf                                  AVAILABLE                 6.060 YES                6.060
/apc2db_db/db_11g/N_CIM_1M_ITS_51.dbf                                  AVAILABLE                 5.910 YES                5.910
/apc2db_db/db_11g/N_CIM_1M_ITS_52.dbf                                  AVAILABLE                 5.910 YES                5.910
/apc2db_db/db_11g/N_CIM_1M_ITS_53.dbf                                  AVAILABLE                 5.910 YES                5.910
/apc2db_db/db_11g/N_CIM_1M_ITS_54.dbf                                  AVAILABLE                 5.910 YES                5.910
/apc2db_db/db_11g/N_CIM_1M_ITS_55.dbf                                  AVAILABLE                 5.910 YES                5.910
/apc2db_db/db_11g/N_CIM_1M_ITS_56.dbf                                  AVAILABLE                 5.910 YES                5.910
/apc2db_db/db_11g/N_CIM_1M_ITS_57.dbf                                  AVAILABLE                 5.420 YES                5.910
/apc2db_db/db_11g/N_CIM_1M_ITS_58.dbf                                  AVAILABLE                 5.420 YES                5.910
/apc2db_db/db_11g/N_CIM_1M_ITS_59.dbf                                  AVAILABLE                 3.570 YES                5.910
/apc2db_db/db_11g/N_CIM_1M_ITS_60.dbf                                  AVAILABLE                 3.470 YES                5.910
/apc2db_db/db_11g/N_CIM_1M_ITS_61.dbf                                  AVAILABLE                 1.320 YES                5.910
/apc2db_db/db_11g/N_CIM_1M_ITS_62.dbf                                  AVAILABLE                 1.320 YES                5.910
/apc2db_db/db_11g/N_CIM_1M_ITS_63.dbf                                  AVAILABLE                 1.470 YES                6.060
/apc2db_db/db_11g/N_CIM_1M_ITS_64.dbf                                  AVAILABLE                 1.470 YES                6.060
/apc2db_db/db_11g/N_CIM_1M_ITS_65.dbf                                  AVAILABLE                 1.470 YES                6.060
/apc2db_db/db_11g/N_CIM_1M_ITS_66.dbf                                  AVAILABLE                 1.470 YES                6.060
/apc2db_db/db_11g/N_CIM_1M_ITS_67.dbf                                  AVAILABLE                 1.470 YES                6.060
/apc2db_db/db_11g/N_CIM_1M_ITS_68.dbf                                  AVAILABLE                 1.470 YES                6.060
/apc2db_db/db_11g/N_CIM_1M_ITS_69.dbf                                  AVAILABLE                 1.370 YES                6.060
/apc2db_db/db_11g/N_CIM_20M_ITS_01.dbf                                 AVAILABLE                 6.060 YES                6.060
/apc2db_db/db_11g/N_CIM_20M_ITS_02.dbf                                 AVAILABLE                 6.060 YES                6.060
/apc2db_db/db_11g/N_CIM_20M_ITS_03.dbf                                 AVAILABLE                 6.060 YES                6.060
/apc2db_db/db_11g/N_CIM_20M_ITS_04.dbf                                 AVAILABLE                 6.060 YES                6.060
/apc2db_db/db_11g/N_CIM_20M_ITS_05.dbf                                 AVAILABLE                 6.060 YES                6.060
/apc2db_db/db_11g/N_CIM_20M_ITS_06.dbf                                 AVAILABLE                 6.060 YES                6.060
/apc2db_db/db_11g/N_CIM_20M_ITS_07.dbf                                 AVAILABLE                 6.060 YES                6.060
/apc2db_db/db_11g/N_CIM_20M_ITS_08.dbf                                 AVAILABLE                 6.060 YES                6.060
/apc2db_db/db_11g/N_CIM_20M_ITS_09.dbf                                 AVAILABLE                 6.060 YES                6.060
/apc2db_db/db_11g/N_CIM_20M_ITS_10.dbf                                 AVAILABLE                 6.060 YES                6.060
/apc2db_db/db_11g/N_CIM_20M_ITS_11.dbf                                 AVAILABLE                 6.060 YES                6.060
/apc2db_db/db_11g/N_CIM_20M_ITS_12.dbf                                 AVAILABLE                 6.060 YES                6.060
/apc2db_db/db_11g/N_CIM_20M_ITS_13.dbf                                 AVAILABLE                 6.060 YES                6.060
/apc2db_db/db_11g/N_CIM_20M_ITS_14.dbf                                 AVAILABLE                 6.060 YES                6.060
/apc2db_db/db_11g/N_CIM_20M_ITS_15.dbf                                 AVAILABLE                 6.060 YES                6.060
/apc2db_db/db_11g/N_CIM_20M_ITS_16.dbf                                 AVAILABLE                 6.060 YES                6.060
/apc2db_db/db_11g/N_CIM_20M_ITS_17.dbf                                 AVAILABLE                 6.060 YES                6.060
/apc2db_db/db_11g/N_CIM_20M_ITS_18.dbf                                 AVAILABLE                 6.060 YES                6.060
/apc2db_db/db_11g/N_CIM_20M_ITS_19.dbf                                 AVAILABLE                 6.060 YES                6.060
/apc2db_db/db_11g/N_CIM_20M_ITS_20.dbf                                 AVAILABLE                 6.060 YES                6.060
/apc2db_db/db_11g/N_CIM_20M_ITS_21.dbf                                 AVAILABLE                 6.060 YES                6.060
/apc2db_db/db_11g/N_CIM_20M_ITS_22.dbf                                 AVAILABLE                 6.060 YES                6.060
/apc2db_db/db_11g/N_CIM_20M_ITS_23.dbf                                 AVAILABLE                 6.060 YES                6.060
/apc2db_db/db_11g/N_CIM_20M_ITS_24.dbf                                 AVAILABLE                 6.060 YES                6.060
/apc2db_db/db_11g/N_CIM_20M_ITS_25.dbf                                 AVAILABLE                 6.060 YES                6.060
/apc2db_db/db_11g/N_CIM_20M_ITS_26.dbf                                 AVAILABLE                 6.060 YES                6.060
/apc2db_db/db_11g/N_CIM_20M_ITS_27.dbf                                 AVAILABLE                 6.060 YES                6.060
/apc2db_db/db_11g/N_CIM_20M_ITS_28.dbf                                 AVAILABLE                 6.060 YES                6.060
/apc2db_db/db_11g/N_CIM_20M_ITS_29.dbf                                 AVAILABLE                 6.060 YES                6.060
/apc2db_db/db_11g/N_CIM_20M_ITS_30.dbf                                 AVAILABLE                 6.060 YES                6.060
/apc2db_db/db_11g/N_CIM_20M_ITS_31.dbf                                 AVAILABLE                 6.060 YES                6.060
/apc2db_db/db_11g/N_CIM_20M_ITS_32.dbf                                 AVAILABLE                 6.060 YES                6.060
/apc2db_db/db_11g/N_CIM_20M_ITS_33.dbf                                 AVAILABLE                 6.060 YES                6.060
/apc2db_db/db_11g/N_CIM_20M_ITS_34.dbf                                 AVAILABLE                 6.060 YES                6.060
/apc2db_db/db_11g/N_CIM_20M_ITS_35.dbf                                 AVAILABLE                 6.060 YES                6.060
/apc2db_db/db_11g/N_CIM_20M_ITS_36.dbf                                 AVAILABLE                 6.060 YES                6.060
/apc2db_db/db_11g/N_CIM_20M_ITS_37.dbf                                 AVAILABLE                 6.060 YES                6.060
/apc2db_db/db_11g/N_CIM_20M_ITS_38.dbf                                 AVAILABLE                 6.060 YES                6.060
/apc2db_db/db_11g/N_CIM_20M_ITS_39.dbf                                 AVAILABLE                 6.060 YES                6.060
/apc2db_db/db_11g/N_CIM_20M_ITS_40.dbf                                 AVAILABLE                 5.910 YES                5.910
/apc2db_db/db_11g/N_CIM_20M_ITS_41.dbf                                 AVAILABLE                 5.910 YES                5.910
/apc2db_db/db_11g/N_CIM_20M_ITS_42.dbf                                 AVAILABLE                 5.910 YES                5.910
/apc2db_db/db_11g/N_CIM_20M_ITS_43.dbf                                 AVAILABLE                 5.910 YES                5.910
/apc2db_db/db_11g/N_CIM_20M_ITS_44.dbf                                 AVAILABLE                 5.420 YES                5.910
/apc2db_db/db_11g/N_CIM_20M_ITS_45.dbf                                 AVAILABLE                 5.420 YES                5.910
/apc2db_db/db_11g/N_CIM_20M_ITS_46.dbf                                 AVAILABLE                 3.610 YES                6.060
/apc2db_db/db_11g/N_CIM_20M_ITS_47.dbf                                 AVAILABLE                 3.610 YES                6.060
/apc2db_db/db_11g/N_CIM_20M_ITS_48.dbf                                 AVAILABLE                 3.610 YES                6.060
/apc2db_db/db_11g/N_CIM_20M_ITS_49.dbf                                 AVAILABLE                  .200 YES                5.860
/apc2db_db/db_11g/N_CIM_20M_ITS_50.dbf                                 AVAILABLE                  .200 YES                5.860
/apc2db_db/db_11g/N_CIM_20M_ITS_51.dbf                                 AVAILABLE                  .200 YES                5.860
/apc2db_db/db_11g/N_CIM_20M_ITS_52.dbf                                 AVAILABLE                  .200 YES                5.860
/apc2db_db/db_11g/N_CIM_20M_ITS_53.dbf                                 AVAILABLE                  .200 YES                5.860
/apc2db_db/db_11g/N_CIM_20M_ITS_54.dbf                                 AVAILABLE                  .200 YES                5.860
/apc2db_db/db_11g/N_CIM_20M_ITS_55.dbf                                 AVAILABLE                  .200 YES                5.860
/apc2db_db/db_11g/N_CIM_20M_ITS_56.dbf                                 AVAILABLE                  .200 YES                5.860
/apc2db_db/db_11g/N_CIM_20M_ITS_57.dbf                                 AVAILABLE                  .200 YES                5.860
/apc2db_db/db_11g/N_CIM_20M_ITS_58.dbf                                 AVAILABLE                  .200 YES                5.860
/apc2db_db/db_11g/N_CIM_20M_ITS_59.dbf                                 AVAILABLE                  .200 YES                5.860
/apc2db_db/db_11g/N_CIM_8M_DTS_01.dbf                                  AVAILABLE                 6.060 YES                6.060
/apc2db_db/db_11g/N_CIM_8M_DTS_02.dbf                                  AVAILABLE                 6.060 YES                6.060
/apc2db_db/db_11g/N_CIM_8M_DTS_03.dbf                                  AVAILABLE                 6.060 YES                6.060
/apc2db_db/db_11g/N_CIM_8M_DTS_04.dbf                                  AVAILABLE                 6.060 YES                6.060
/apc2db_db/db_11g/N_CIM_8M_DTS_05.dbf                                  AVAILABLE                 6.060 YES                6.060
/apc2db_db/db_11g/N_CIM_8M_DTS_06.dbf                                  AVAILABLE                 6.060 YES                6.060
/apc2db_db/db_11g/N_CIM_8M_DTS_07.dbf                                  AVAILABLE                 6.060 YES                6.060
/apc2db_db/db_11g/N_CIM_8M_DTS_08.dbf                                  AVAILABLE                 6.060 YES                6.060
/apc2db_db/db_11g/N_CIM_8M_DTS_09.dbf                                  AVAILABLE                 6.060 YES                6.060
/apc2db_db/db_11g/N_CIM_8M_DTS_10.dbf                                  AVAILABLE                 6.060 YES                6.060
/apc2db_db/db_11g/N_CIM_8M_DTS_11.dbf                                  AVAILABLE                 6.060 YES                6.060
/apc2db_db/db_11g/N_CIM_8M_DTS_12.dbf                                  AVAILABLE                 6.060 YES                6.060
/apc2db_db/db_11g/N_CIM_8M_DTS_13.dbf                                  AVAILABLE                 6.060 YES                6.060
/apc2db_db/db_11g/N_CIM_8M_DTS_14.dbf                                  AVAILABLE                 6.060 YES                6.060
/apc2db_db/db_11g/N_CIM_8M_DTS_15.dbf                                  AVAILABLE                 6.060 YES                6.060
/apc2db_db/db_11g/N_CIM_8M_DTS_16.dbf                                  AVAILABLE                 6.060 YES                6.060
/apc2db_db/db_11g/N_CIM_8M_DTS_17.dbf                                  AVAILABLE                 6.060 YES                6.060
/apc2db_db/db_11g/N_CIM_8M_DTS_18.dbf                                  AVAILABLE                 6.060 YES                6.060
/apc2db_db/db_11g/N_CIM_8M_DTS_19.dbf                                  AVAILABLE                 6.060 YES                6.060
/apc2db_db/db_11g/N_CIM_8M_DTS_20.dbf                                  AVAILABLE                 6.060 YES                6.060
/apc2db_db/db_11g/N_CIM_8M_DTS_21.dbf                                  AVAILABLE                 5.910 YES                5.910
/apc2db_db/db_11g/N_CIM_8M_DTS_22.dbf                                  AVAILABLE                 5.910 YES                5.910
/apc2db_db/db_11g/N_CIM_8M_DTS_23.dbf                                  AVAILABLE                 5.910 YES                5.910
/apc2db_db/db_11g/N_CIM_8M_DTS_24.dbf                                  AVAILABLE                 5.910 YES                5.910
/apc2db_db/db_11g/N_CIM_8M_DTS_25.dbf                                  AVAILABLE                 5.910 YES                5.910
/apc2db_db/db_11g/N_CIM_8M_DTS_26.dbf                                  AVAILABLE                 5.910 YES                5.910
/apc2db_db/db_11g/N_CIM_8M_DTS_27.dbf                                  AVAILABLE                 5.910 YES                5.910
/apc2db_db/db_11g/N_CIM_8M_DTS_28.dbf                                  AVAILABLE                 5.910 YES                5.910
/apc2db_db/db_11g/N_CIM_8M_DTS_29.dbf                                  AVAILABLE                 6.060 YES                6.060
/apc2db_db/db_11g/N_CIM_8M_DTS_30.dbf                                  AVAILABLE                 6.060 YES                6.060
/apc2db_db/db_11g/N_CIM_8M_DTS_31.dbf                                  AVAILABLE                 6.060 YES                6.060
/apc2db_db/db_11g/N_CIM_8M_DTS_32.dbf                                  AVAILABLE                 6.060 YES                6.060
/apc2db_db/db_11g/N_CIM_8M_DTS_33.dbf                                  AVAILABLE                 6.060 YES                6.060
/apc2db_db/db_11g/N_CIM_8M_DTS_34.dbf                                  AVAILABLE                 6.060 YES                6.060
/apc2db_db/db_11g/N_CIM_8M_DTS_35.dbf                                  AVAILABLE                 6.060 YES                6.060
/apc2db_db/db_11g/N_CIM_8M_DTS_36.dbf                                  AVAILABLE                 6.060 YES                6.060
/apc2db_db/db_11g/N_CIM_8M_DTS_37.dbf                                  AVAILABLE                 5.910 YES                5.910
/apc2db_db/db_11g/N_CIM_8M_DTS_38.dbf                                  AVAILABLE                 5.910 YES                5.910
/apc2db_db/db_11g/N_CIM_8M_DTS_39.dbf                                  AVAILABLE                 5.910 YES                5.910
/apc2db_db/db_11g/N_CIM_8M_DTS_40.dbf                                  AVAILABLE                 5.910 YES                5.910
/apc2db_db/db_11g/N_CIM_8M_DTS_41.dbf                                  AVAILABLE                 5.910 YES                5.910
/apc2db_db/db_11g/N_CIM_8M_DTS_42.dbf                                  AVAILABLE                 5.910 YES                5.910
/apc2db_db/db_11g/N_CIM_8M_DTS_43.dbf                                  AVAILABLE                 6.060 YES                6.060
/apc2db_db/db_11g/N_CIM_8M_DTS_44.dbf                                  AVAILABLE                 6.060 YES                6.060
/apc2db_db/db_11g/N_CIM_8M_DTS_45.dbf                                  AVAILABLE                 6.060 YES                6.060
/apc2db_db/db_11g/N_CIM_8M_DTS_46.dbf                                  AVAILABLE                 5.910 YES                5.910
/apc2db_db/db_11g/N_CIM_8M_DTS_47.dbf                                  AVAILABLE                 5.910 YES                5.910
/apc2db_db/db_11g/N_CIM_8M_DTS_48.dbf                                  AVAILABLE                 5.960 YES                5.960
/apc2db_db/db_11g/N_CIM_8M_DTS_49.dbf                                  AVAILABLE                 5.960 YES                5.960
/apc2db_db/db_11g/N_CIM_8M_DTS_50.dbf                                  AVAILABLE                 5.960 YES                5.960</t>
    <phoneticPr fontId="14" type="noConversion"/>
  </si>
  <si>
    <t>TEMP文件大小</t>
    <phoneticPr fontId="14" type="noConversion"/>
  </si>
  <si>
    <t>用户大小</t>
    <phoneticPr fontId="14" type="noConversion"/>
  </si>
  <si>
    <t>用户状态</t>
    <phoneticPr fontId="14" type="noConversion"/>
  </si>
  <si>
    <t>用户表数量</t>
    <phoneticPr fontId="14" type="noConversion"/>
  </si>
  <si>
    <t>REDO文件检查</t>
    <phoneticPr fontId="14" type="noConversion"/>
  </si>
  <si>
    <t>资源使用限制检查</t>
    <phoneticPr fontId="14" type="noConversion"/>
  </si>
  <si>
    <t>RMAN备份检查</t>
    <phoneticPr fontId="14" type="noConversion"/>
  </si>
  <si>
    <t>DG同步延迟检查</t>
    <phoneticPr fontId="14" type="noConversion"/>
  </si>
  <si>
    <t>DG同步报错检查</t>
    <phoneticPr fontId="14" type="noConversion"/>
  </si>
  <si>
    <t>DBDGERRCHECK</t>
    <phoneticPr fontId="14" type="noConversion"/>
  </si>
  <si>
    <t>SEQUENCE设置检查</t>
    <phoneticPr fontId="14" type="noConversion"/>
  </si>
  <si>
    <t>SEQUENCE使用检查</t>
    <phoneticPr fontId="14" type="noConversion"/>
  </si>
  <si>
    <t>数据库状态</t>
    <phoneticPr fontId="14" type="noConversion"/>
  </si>
  <si>
    <t>NAME                                                         VERSION         LAST_USAGE_DATE
------------------------------------------------------------ --------------- --------------------
Character Set                                                19.0.0.0.0      21-JUL-25
Deferred Segment Creation                                    19.0.0.0.0      21-JUL-25
Locally Managed Tablespaces (system)                         19.0.0.0.0      21-JUL-25
Locally Managed Tablespaces (user)                           19.0.0.0.0      21-JUL-25
Automatic SGA Tuning                                         19.0.0.0.0      21-JUL-25
Oracle Managed Files                                         19.0.0.0.0      21-JUL-25
Partitioning (system)                                        19.0.0.0.0      21-JUL-25
Recovery Area                                                19.0.0.0.0      21-JUL-25
Logfile Multiplexing                                         19.0.0.0.0      21-JUL-25
Duplicate Db from Active Db using BackupSet                  19.0.0.0.0      21-JUL-25
Resource Manager                                             19.0.0.0.0      21-JUL-25
Traditional Audit                                            19.0.0.0.0      21-JUL-25
Unified Audit                                                19.0.0.0.0      21-JUL-25
Automatic Maintenance - Optimizer Statistics Gathering       19.0.0.0.0      21-JUL-25
Automatic Maintenance - Space Advisor                        19.0.0.0.0      21-JUL-25
Automatic Maintenance - SQL Tuning Advisor                   19.0.0.0.0      21-JUL-25
Automatic Segment Space Management (system)                  19.0.0.0.0      21-JUL-25
Automatic Segment Space Management (user)                    19.0.0.0.0      21-JUL-25
Automatic SQL Execution Memory                               19.0.0.0.0      21-JUL-25
Automatic Undo Management                                    19.0.0.0.0      21-JUL-25
Real-Time SQL Monitoring                                     19.0.0.0.0      21-JUL-25
SQL Tuning Set (system)                                      19.0.0.0.0      21-JUL-25
Automatic SQL Tuning Advisor                                 19.0.0.0.0      21-JUL-25
SecureFiles (user)                                           19.0.0.0.0      21-JUL-25
SecureFiles (system)                                         19.0.0.0.0      21-JUL-25
LOB                                                          19.0.0.0.0      21-JUL-25
Adaptive Plans                                               19.0.0.0.0      21-JUL-25
Automatic Reoptimization                                     19.0.0.0.0      21-JUL-25
SQL Plan Directive                                           19.0.0.0.0      21-JUL-25
Oracle Utility External Table (ORACLE_LOADER)                19.0.0.0.0      21-JUL-25
Instance Caging                                              19.0.0.0.0      21-JUL-25
Server Parameter File                                        19.0.0.0.0      21-JUL-25
Statistics Advisor                                           19.0.0.0.0      21-JUL-25
Oracle Java Virtual Machine (system)                         19.0.0.0.0      21-JUL-25</t>
    <phoneticPr fontId="14" type="noConversion"/>
  </si>
  <si>
    <t>数据库组件</t>
    <phoneticPr fontId="14" type="noConversion"/>
  </si>
  <si>
    <t>功能特性</t>
    <phoneticPr fontId="14" type="noConversion"/>
  </si>
  <si>
    <t>OPTION                                             VALUE
-------------------------------------------------- ----------
Partitioning                                       TRUE
Objects                                            TRUE
Real Application Clusters                          FALSE
Advanced replication                               TRUE
Bit-mapped indexes                                 TRUE
Connection multiplexing                            TRUE
Connection pooling                                 TRUE
Database queuing                                   TRUE
Incremental backup and recovery                    TRUE
Instead-of triggers                                TRUE
Parallel backup and recovery                       TRUE
Parallel execution                                 TRUE
Parallel load                                      TRUE
Point-in-time tablespace recovery                  TRUE
Fine-grained access control                        TRUE
Proxy authentication/authorization                 TRUE
Change Data Capture                                TRUE
Plan Stability                                     TRUE
Online Index Build                                 TRUE
Coalesce Index                                     TRUE
Managed Standby                                    TRUE
Materialized view rewrite                          TRUE
Database resource manager                          TRUE
Spatial                                            TRUE
Automatic Storage Management                       FALSE
Export transportable tablespaces                   TRUE
Transparent Application Failover                   TRUE
Fast-Start Fault Recovery                          TRUE
Sample Scan                                        TRUE
Duplexed backups                                   TRUE
Java                                               TRUE
OLAP Window Functions                              TRUE
Block Media Recovery                               TRUE
Fine-grained Auditing                              TRUE
Application Role                                   TRUE
Enterprise User Security                           TRUE
Oracle Data Guard                                  TRUE
Oracle Label Security                              FALSE
OLAP                                               TRUE
Basic Compression                                  TRUE
Join index                                         TRUE
Trial Recovery                                     TRUE
Advanced Analytics                                 TRUE
Online Redefinition                                TRUE
Streams Capture                                    TRUE
File Mapping                                       TRUE
Block Change Tracking                              TRUE
Flashback Table                                    TRUE
Flashback Database                                 TRUE
Transparent Data Encryption                        TRUE
Backup Encryption                                  TRUE
Unused Block Compression                           TRUE
Oracle Database Vault                              FALSE
Result Cache                                       TRUE
SQL Plan Management                                TRUE
SecureFiles Encryption                             TRUE
Real Application Testing                           TRUE
Flashback Data Archive                             TRUE
DICOM                                              TRUE
Active Data Guard                                  TRUE
Server Flash Cache                                 TRUE
Advanced Compression                               TRUE
XStream                                            TRUE
Deferred Segment Creation                          TRUE
Unified Auditing                                   FALSE
Management Database                                FALSE
I/O Server                                         FALSE
ASM Proxy Instance                                 FALSE
Exadata Discovery                                  TRUE
Data Mining                                        TRUE
Global Data Services                               TRUE
Adaptive Execution Plans                           TRUE
Table Clustering                                   TRUE
Zone Maps                                          TRUE
Real Application Security                          TRUE
Privilege Analysis                                 TRUE
Data Redaction                                     TRUE
Cross Transportable Backups                        TRUE
Cache Fusion Lock Accelerator                      TRUE
Snapshot time recovery                             TRUE
Heat Map                                           TRUE
Automatic Data Optimization                        TRUE
Transparent Sensitive Data Protection              TRUE
In-Memory Column Store                             TRUE
Advanced Index Compression                         TRUE
In-Memory Aggregation                              TRUE
Centrally Managed User                             TRUE</t>
    <phoneticPr fontId="14" type="noConversion"/>
  </si>
  <si>
    <t>字符集</t>
    <phoneticPr fontId="14" type="noConversion"/>
  </si>
  <si>
    <t>数据库参数</t>
    <phoneticPr fontId="14" type="noConversion"/>
  </si>
  <si>
    <t>游标&gt;300M检查</t>
    <phoneticPr fontId="14" type="noConversion"/>
  </si>
  <si>
    <t>用户临期检查</t>
    <phoneticPr fontId="14" type="noConversion"/>
  </si>
  <si>
    <t>PROFILE              LIMIT
-------------------- ------------------------------
DEFAULT              NULL</t>
    <phoneticPr fontId="14" type="noConversion"/>
  </si>
  <si>
    <t>PROFILE密码函数设置</t>
    <phoneticPr fontId="14" type="noConversion"/>
  </si>
  <si>
    <t>无效对象检查</t>
    <phoneticPr fontId="14" type="noConversion"/>
  </si>
  <si>
    <t>索引失效检查</t>
    <phoneticPr fontId="14" type="noConversion"/>
  </si>
  <si>
    <t>控制文件冗余检查</t>
    <phoneticPr fontId="14" type="noConversion"/>
  </si>
  <si>
    <t>业务使用系统表空间检查</t>
    <phoneticPr fontId="14" type="noConversion"/>
  </si>
  <si>
    <t>Recovery区使用检查</t>
    <phoneticPr fontId="14" type="noConversion"/>
  </si>
  <si>
    <t>错误口令登录锁定检查</t>
    <phoneticPr fontId="14" type="noConversion"/>
  </si>
  <si>
    <t>病毒勒索攻击隐患检查</t>
    <phoneticPr fontId="14" type="noConversion"/>
  </si>
  <si>
    <t xml:space="preserve"> </t>
    <phoneticPr fontId="14" type="noConversion"/>
  </si>
  <si>
    <t>INSTNAME</t>
    <phoneticPr fontId="14" type="noConversion"/>
  </si>
  <si>
    <t>实例名</t>
    <phoneticPr fontId="14" type="noConversion"/>
  </si>
  <si>
    <t>racdb1</t>
    <phoneticPr fontId="14" type="noConversion"/>
  </si>
  <si>
    <t>racdb2</t>
    <phoneticPr fontId="14" type="noConversion"/>
  </si>
  <si>
    <r>
      <t>Top SQL(</t>
    </r>
    <r>
      <rPr>
        <b/>
        <sz val="11"/>
        <color rgb="FFE6E6FA"/>
        <rFont val="微软雅黑"/>
        <family val="2"/>
        <charset val="134"/>
      </rPr>
      <t>耗时</t>
    </r>
    <r>
      <rPr>
        <b/>
        <sz val="11"/>
        <color rgb="FFE6E6FA"/>
        <rFont val="Calibri"/>
        <family val="2"/>
      </rPr>
      <t>)</t>
    </r>
    <phoneticPr fontId="14" type="noConversion"/>
  </si>
  <si>
    <t>监听检查</t>
    <phoneticPr fontId="14" type="noConversion"/>
  </si>
  <si>
    <t>数据库负载</t>
    <phoneticPr fontId="14" type="noConversion"/>
  </si>
  <si>
    <r>
      <t>Top</t>
    </r>
    <r>
      <rPr>
        <b/>
        <sz val="11"/>
        <color rgb="FFE6E6FA"/>
        <rFont val="等线"/>
        <family val="2"/>
        <charset val="134"/>
      </rPr>
      <t>等待</t>
    </r>
    <phoneticPr fontId="14" type="noConversion"/>
  </si>
  <si>
    <t>TOPSQLBYELAPSTIME</t>
    <phoneticPr fontId="14" type="noConversion"/>
  </si>
  <si>
    <t>DBPATCH</t>
    <phoneticPr fontId="14" type="noConversion"/>
  </si>
  <si>
    <t>数据库补丁</t>
    <phoneticPr fontId="14" type="noConversion"/>
  </si>
  <si>
    <t>参数文件</t>
    <phoneticPr fontId="14" type="noConversion"/>
  </si>
  <si>
    <t>DBERRLOG</t>
    <phoneticPr fontId="14" type="noConversion"/>
  </si>
  <si>
    <t>LOADPROFILE</t>
    <phoneticPr fontId="14" type="noConversion"/>
  </si>
  <si>
    <t>INSTEFFICIENCY</t>
    <phoneticPr fontId="14" type="noConversion"/>
  </si>
  <si>
    <t>TOPEVENT</t>
    <phoneticPr fontId="14" type="noConversion"/>
  </si>
  <si>
    <t>DBPSU</t>
    <phoneticPr fontId="14" type="noConversion"/>
  </si>
  <si>
    <t>DBLSNRINFO</t>
    <phoneticPr fontId="14" type="noConversion"/>
  </si>
  <si>
    <t>DB_PARAMETER_FILE</t>
    <phoneticPr fontId="14" type="noConversion"/>
  </si>
  <si>
    <t>归档切换检查</t>
    <phoneticPr fontId="14" type="noConversion"/>
  </si>
  <si>
    <t>DBREDOSWITCH</t>
    <phoneticPr fontId="14" type="noConversion"/>
  </si>
  <si>
    <t>数据库运行效率</t>
    <phoneticPr fontId="14" type="noConversion"/>
  </si>
  <si>
    <r>
      <rPr>
        <b/>
        <sz val="11"/>
        <color rgb="FFE6E6FA"/>
        <rFont val="微软雅黑"/>
        <family val="2"/>
        <charset val="134"/>
      </rPr>
      <t>数据库</t>
    </r>
    <r>
      <rPr>
        <sz val="11"/>
        <color theme="3"/>
        <rFont val="Calibri"/>
        <family val="2"/>
        <charset val="134"/>
      </rPr>
      <t>PSU</t>
    </r>
    <phoneticPr fontId="14" type="noConversion"/>
  </si>
  <si>
    <t>CPU使用</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</si>
</sst>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7" formatCode="&quot;$&quot;#,##0.00_);\(&quot;$&quot;#,##0.00\)"/>
    <numFmt numFmtId="44" formatCode="_(&quot;$&quot;* #,##0.00_);_(&quot;$&quot;* \(#,##0.00\);_(&quot;$&quot;* &quot;-&quot;??_);_(@_)"/>
  </numFmts>
  <fonts count="43" x14ac:knownFonts="1">
    <font>
      <sz val="11"/>
      <color theme="3"/>
      <name val="Corbel"/>
      <family val="2"/>
      <scheme val="minor"/>
    </font>
    <font>
      <sz val="11"/>
      <color theme="1"/>
      <name val="Corbel"/>
      <family val="2"/>
      <scheme val="minor"/>
    </font>
    <font>
      <sz val="11"/>
      <color theme="1"/>
      <name val="Corbel"/>
      <family val="2"/>
      <scheme val="minor"/>
    </font>
    <font>
      <sz val="11"/>
      <color theme="1"/>
      <name val="Corbel"/>
      <family val="2"/>
      <scheme val="minor"/>
    </font>
    <font>
      <b/>
      <sz val="12"/>
      <color theme="3"/>
      <name val="Corbel"/>
      <family val="2"/>
      <scheme val="minor"/>
    </font>
    <font>
      <sz val="20"/>
      <color theme="1"/>
      <name val="Impact"/>
      <family val="2"/>
      <scheme val="major"/>
    </font>
    <font>
      <sz val="11"/>
      <color theme="3"/>
      <name val="Corbel"/>
      <family val="2"/>
      <scheme val="minor"/>
    </font>
    <font>
      <sz val="11"/>
      <color theme="0"/>
      <name val="Corbel"/>
      <family val="2"/>
      <scheme val="minor"/>
    </font>
    <font>
      <sz val="32"/>
      <color theme="1"/>
      <name val="Impact"/>
      <family val="2"/>
      <scheme val="major"/>
    </font>
    <font>
      <sz val="12"/>
      <color theme="1"/>
      <name val="Corbel"/>
      <family val="2"/>
      <scheme val="minor"/>
    </font>
    <font>
      <sz val="11"/>
      <name val="Corbel"/>
      <family val="2"/>
      <scheme val="minor"/>
    </font>
    <font>
      <sz val="32"/>
      <color theme="2" tint="-0.499984740745262"/>
      <name val="Impact"/>
      <family val="2"/>
      <scheme val="major"/>
    </font>
    <font>
      <b/>
      <sz val="18"/>
      <color theme="2" tint="-0.499984740745262"/>
      <name val="Corbel"/>
      <family val="2"/>
      <scheme val="minor"/>
    </font>
    <font>
      <b/>
      <sz val="12"/>
      <color theme="1"/>
      <name val="Corbel"/>
      <family val="2"/>
      <scheme val="minor"/>
    </font>
    <font>
      <sz val="9"/>
      <name val="宋体"/>
      <family val="3"/>
      <charset val="134"/>
      <scheme val="minor"/>
    </font>
    <font>
      <b/>
      <sz val="36"/>
      <color theme="1"/>
      <name val="Impact"/>
      <family val="2"/>
    </font>
    <font>
      <b/>
      <sz val="36"/>
      <color theme="1"/>
      <name val="等线"/>
      <family val="2"/>
      <charset val="134"/>
    </font>
    <font>
      <sz val="32"/>
      <color theme="2" tint="-0.499984740745262"/>
      <name val="Impact"/>
      <family val="2"/>
    </font>
    <font>
      <sz val="11"/>
      <color theme="3"/>
      <name val="宋体"/>
      <family val="2"/>
      <charset val="134"/>
    </font>
    <font>
      <b/>
      <sz val="12"/>
      <color theme="1"/>
      <name val="微软雅黑"/>
      <family val="2"/>
      <charset val="134"/>
      <scheme val="minor"/>
    </font>
    <font>
      <b/>
      <sz val="12"/>
      <color theme="1"/>
      <name val="宋体"/>
      <family val="2"/>
      <charset val="134"/>
    </font>
    <font>
      <sz val="11"/>
      <color theme="1"/>
      <name val="Microsoft YaHei Light"/>
      <family val="2"/>
      <charset val="134"/>
    </font>
    <font>
      <sz val="11"/>
      <color theme="3"/>
      <name val="Microsoft YaHei Light"/>
      <family val="2"/>
      <charset val="134"/>
    </font>
    <font>
      <b/>
      <sz val="11"/>
      <color theme="3"/>
      <name val="Microsoft YaHei Light"/>
      <family val="2"/>
      <charset val="134"/>
    </font>
    <font>
      <sz val="32"/>
      <color theme="6"/>
      <name val="Impact"/>
      <family val="2"/>
    </font>
    <font>
      <sz val="9"/>
      <color indexed="81"/>
      <name val="宋体"/>
      <family val="3"/>
      <charset val="134"/>
    </font>
    <font>
      <b/>
      <sz val="9"/>
      <color indexed="81"/>
      <name val="宋体"/>
      <family val="3"/>
      <charset val="134"/>
    </font>
    <font>
      <sz val="11"/>
      <color theme="1"/>
      <name val="Calibri"/>
      <family val="2"/>
    </font>
    <font>
      <b/>
      <sz val="11"/>
      <color rgb="FFE6E6FA"/>
      <name val="Calibri"/>
      <family val="2"/>
    </font>
    <font>
      <sz val="9"/>
      <color theme="1"/>
      <name val="Microsoft YaHei Light"/>
      <family val="2"/>
      <charset val="134"/>
    </font>
    <font>
      <b/>
      <sz val="12"/>
      <color theme="0"/>
      <name val="宋体"/>
      <family val="2"/>
      <charset val="134"/>
    </font>
    <font>
      <b/>
      <sz val="11"/>
      <color rgb="FFE6E6FA"/>
      <name val="微软雅黑"/>
      <family val="2"/>
      <charset val="134"/>
    </font>
    <font>
      <b/>
      <sz val="11"/>
      <color rgb="FFE6E6FA"/>
      <name val="幼圆"/>
      <family val="3"/>
      <charset val="134"/>
    </font>
    <font>
      <sz val="11"/>
      <color rgb="FFE6E6FA"/>
      <name val="幼圆"/>
      <family val="3"/>
      <charset val="134"/>
    </font>
    <font>
      <sz val="11"/>
      <color theme="0"/>
      <name val="幼圆"/>
      <family val="3"/>
      <charset val="134"/>
    </font>
    <font>
      <sz val="11"/>
      <color theme="0"/>
      <name val="Calibri"/>
      <family val="2"/>
    </font>
    <font>
      <b/>
      <sz val="11"/>
      <color theme="0"/>
      <name val="幼圆"/>
      <family val="3"/>
      <charset val="134"/>
    </font>
    <font>
      <b/>
      <sz val="11"/>
      <color theme="0"/>
      <name val="Calibri"/>
      <family val="2"/>
    </font>
    <font>
      <sz val="11"/>
      <color theme="1"/>
      <name val="幼圆"/>
      <family val="3"/>
      <charset val="134"/>
    </font>
    <font>
      <b/>
      <sz val="11"/>
      <color rgb="FFE6E6FA"/>
      <name val="宋体"/>
      <family val="2"/>
      <charset val="134"/>
    </font>
    <font>
      <b/>
      <sz val="11"/>
      <color rgb="FFE6E6FA"/>
      <name val="等线"/>
      <family val="2"/>
      <charset val="134"/>
    </font>
    <font>
      <b/>
      <sz val="11"/>
      <color rgb="FFE6E6FA"/>
      <name val="Calibri"/>
      <family val="2"/>
      <charset val="134"/>
    </font>
    <font>
      <sz val="11"/>
      <color theme="3"/>
      <name val="Calibri"/>
      <family val="2"/>
      <charset val="134"/>
    </font>
  </fonts>
  <fills count="12">
    <fill>
      <patternFill patternType="none"/>
    </fill>
    <fill>
      <patternFill patternType="gray125"/>
    </fill>
    <fill>
      <patternFill patternType="solid">
        <fgColor theme="0"/>
        <bgColor indexed="64"/>
      </patternFill>
    </fill>
    <fill>
      <patternFill patternType="solid">
        <fgColor theme="7" tint="0.79998168889431442"/>
        <bgColor indexed="65"/>
      </patternFill>
    </fill>
    <fill>
      <patternFill patternType="solid">
        <fgColor rgb="FFEAEAEA"/>
        <bgColor indexed="64"/>
      </patternFill>
    </fill>
    <fill>
      <patternFill patternType="solid">
        <fgColor theme="0" tint="-4.9989318521683403E-2"/>
        <bgColor indexed="64"/>
      </patternFill>
    </fill>
    <fill>
      <patternFill patternType="solid">
        <fgColor theme="0" tint="-4.9989318521683403E-2"/>
        <bgColor theme="0" tint="-0.14993743705557422"/>
      </patternFill>
    </fill>
    <fill>
      <patternFill patternType="solid">
        <fgColor theme="1" tint="0.499984740745262"/>
        <bgColor indexed="64"/>
      </patternFill>
    </fill>
    <fill>
      <patternFill patternType="solid">
        <fgColor rgb="FF555555"/>
      </patternFill>
    </fill>
    <fill>
      <patternFill patternType="solid">
        <fgColor rgb="FF4876FF"/>
      </patternFill>
    </fill>
    <fill>
      <patternFill patternType="solid">
        <fgColor rgb="FFFFAEB9"/>
      </patternFill>
    </fill>
    <fill>
      <patternFill patternType="solid">
        <fgColor rgb="FF00BF5F"/>
      </patternFill>
    </fill>
  </fills>
  <borders count="9">
    <border>
      <left/>
      <right/>
      <top/>
      <bottom/>
      <diagonal/>
    </border>
    <border>
      <left/>
      <right/>
      <top style="thick">
        <color theme="2" tint="-0.499984740745262"/>
      </top>
      <bottom/>
      <diagonal/>
    </border>
    <border>
      <left/>
      <right/>
      <top/>
      <bottom style="thick">
        <color theme="2" tint="-0.499984740745262"/>
      </bottom>
      <diagonal/>
    </border>
    <border>
      <left/>
      <right/>
      <top style="dotted">
        <color theme="2" tint="-0.499984740745262"/>
      </top>
      <bottom style="dotted">
        <color theme="2" tint="-0.499984740745262"/>
      </bottom>
      <diagonal/>
    </border>
    <border>
      <left style="thin">
        <color rgb="FF000000"/>
      </left>
      <right style="thin">
        <color rgb="FF000000"/>
      </right>
      <top style="thin">
        <color rgb="FF000000"/>
      </top>
      <bottom style="thin">
        <color rgb="FF000000"/>
      </bottom>
      <diagonal/>
    </border>
    <border>
      <left/>
      <right/>
      <top style="dotted">
        <color theme="2" tint="-0.499984740745262"/>
      </top>
      <bottom/>
      <diagonal/>
    </border>
    <border>
      <left/>
      <right/>
      <top/>
      <bottom style="hair">
        <color theme="1" tint="0.34998626667073579"/>
      </bottom>
      <diagonal/>
    </border>
    <border>
      <left/>
      <right/>
      <top style="hair">
        <color theme="1" tint="0.34998626667073579"/>
      </top>
      <bottom style="hair">
        <color theme="1" tint="0.34998626667073579"/>
      </bottom>
      <diagonal/>
    </border>
    <border>
      <left/>
      <right/>
      <top style="hair">
        <color theme="1" tint="0.34998626667073579"/>
      </top>
      <bottom style="thick">
        <color theme="2" tint="-0.499984740745262"/>
      </bottom>
      <diagonal/>
    </border>
  </borders>
  <cellStyleXfs count="20">
    <xf numFmtId="0" fontId="0" fillId="2" borderId="0">
      <alignment vertical="center" wrapText="1"/>
    </xf>
    <xf numFmtId="0" fontId="5" fillId="0" borderId="0" applyNumberFormat="0" applyFill="0" applyProtection="0">
      <alignment horizontal="left" vertical="center"/>
    </xf>
    <xf numFmtId="0" fontId="9" fillId="0" borderId="0" applyNumberFormat="0" applyFill="0" applyBorder="0" applyProtection="0">
      <alignment horizontal="left" wrapText="1"/>
    </xf>
    <xf numFmtId="44" fontId="3" fillId="0" borderId="0" applyFont="0" applyFill="0" applyBorder="0" applyProtection="0">
      <alignment vertical="center"/>
    </xf>
    <xf numFmtId="9" fontId="7" fillId="0" borderId="0" applyFill="0" applyBorder="0" applyProtection="0">
      <alignment horizontal="left" vertical="center"/>
    </xf>
    <xf numFmtId="0" fontId="8" fillId="0" borderId="0" applyNumberFormat="0" applyFill="0" applyBorder="0" applyProtection="0">
      <alignment vertical="center"/>
    </xf>
    <xf numFmtId="0" fontId="7" fillId="0" borderId="0" applyNumberFormat="0" applyFill="0" applyBorder="0" applyAlignment="0">
      <alignment vertical="center"/>
    </xf>
    <xf numFmtId="0" fontId="4" fillId="0" borderId="1" applyNumberFormat="0" applyFill="0" applyProtection="0">
      <alignment horizontal="right" vertical="center"/>
    </xf>
    <xf numFmtId="0" fontId="12" fillId="0" borderId="0" applyNumberFormat="0" applyFill="0" applyBorder="0" applyProtection="0">
      <alignment horizontal="left"/>
    </xf>
    <xf numFmtId="7" fontId="4" fillId="0" borderId="1" applyFill="0" applyAlignment="0" applyProtection="0"/>
    <xf numFmtId="37" fontId="6" fillId="0" borderId="0" applyFont="0" applyFill="0" applyBorder="0" applyProtection="0">
      <alignment horizontal="left" vertical="center" indent="1"/>
    </xf>
    <xf numFmtId="7" fontId="6" fillId="0" borderId="0" applyFont="0" applyFill="0" applyBorder="0" applyProtection="0">
      <alignment horizontal="right" vertical="center"/>
    </xf>
    <xf numFmtId="0" fontId="6" fillId="2" borderId="0" applyNumberFormat="0" applyFont="0" applyFill="0" applyBorder="0">
      <alignment horizontal="center" vertical="center"/>
    </xf>
    <xf numFmtId="0" fontId="6" fillId="2" borderId="0" applyNumberFormat="0" applyFont="0" applyFill="0" applyBorder="0">
      <alignment horizontal="right" vertical="center"/>
    </xf>
    <xf numFmtId="0" fontId="10" fillId="2" borderId="0" applyNumberFormat="0" applyFill="0" applyBorder="0" applyAlignment="0" applyProtection="0">
      <alignment vertical="center" wrapText="1"/>
    </xf>
    <xf numFmtId="0" fontId="10" fillId="2" borderId="0" applyNumberFormat="0" applyFill="0" applyBorder="0" applyAlignment="0" applyProtection="0">
      <alignment vertical="center" wrapText="1"/>
    </xf>
    <xf numFmtId="0" fontId="2" fillId="3" borderId="0" applyNumberFormat="0" applyBorder="0" applyAlignment="0" applyProtection="0"/>
    <xf numFmtId="0" fontId="11" fillId="0" borderId="0">
      <alignment vertical="center"/>
    </xf>
    <xf numFmtId="0" fontId="6" fillId="0" borderId="0" applyNumberFormat="0" applyFill="0" applyBorder="0" applyProtection="0">
      <alignment vertical="center"/>
    </xf>
    <xf numFmtId="0" fontId="27" fillId="0" borderId="0"/>
  </cellStyleXfs>
  <cellXfs count="87">
    <xf numFmtId="0" fontId="0" fillId="2" borderId="0" xfId="0">
      <alignment vertical="center" wrapText="1"/>
    </xf>
    <xf numFmtId="9" fontId="1" fillId="2" borderId="0" xfId="4" applyFont="1" applyFill="1">
      <alignment horizontal="left" vertical="center"/>
    </xf>
    <xf numFmtId="0" fontId="6" fillId="4" borderId="0" xfId="18" applyFill="1" applyAlignment="1">
      <alignment horizontal="right" vertical="center"/>
    </xf>
    <xf numFmtId="0" fontId="5" fillId="4" borderId="0" xfId="1" applyFill="1">
      <alignment horizontal="left" vertical="center"/>
    </xf>
    <xf numFmtId="0" fontId="0" fillId="4" borderId="0" xfId="0" applyFill="1">
      <alignment vertical="center" wrapText="1"/>
    </xf>
    <xf numFmtId="0" fontId="5" fillId="4" borderId="0" xfId="1" applyFill="1" applyAlignment="1">
      <alignment vertical="center"/>
    </xf>
    <xf numFmtId="0" fontId="0" fillId="4" borderId="0" xfId="13" applyFont="1" applyFill="1">
      <alignment horizontal="right" vertical="center"/>
    </xf>
    <xf numFmtId="7" fontId="0" fillId="4" borderId="0" xfId="11" applyFont="1" applyFill="1">
      <alignment horizontal="right" vertical="center"/>
    </xf>
    <xf numFmtId="9" fontId="1" fillId="4" borderId="0" xfId="4" applyFont="1" applyFill="1">
      <alignment horizontal="left" vertical="center"/>
    </xf>
    <xf numFmtId="7" fontId="13" fillId="4" borderId="1" xfId="7" applyNumberFormat="1" applyFont="1" applyFill="1">
      <alignment horizontal="right" vertical="center"/>
    </xf>
    <xf numFmtId="7" fontId="4" fillId="4" borderId="1" xfId="9" applyFill="1" applyAlignment="1">
      <alignment vertical="center" wrapText="1"/>
    </xf>
    <xf numFmtId="0" fontId="0" fillId="5" borderId="0" xfId="0" applyFill="1">
      <alignment vertical="center" wrapText="1"/>
    </xf>
    <xf numFmtId="0" fontId="0" fillId="4" borderId="0" xfId="18" applyFont="1" applyFill="1" applyAlignment="1">
      <alignment horizontal="right" vertical="center"/>
    </xf>
    <xf numFmtId="0" fontId="18" fillId="4" borderId="0" xfId="13" applyFont="1" applyFill="1">
      <alignment horizontal="right" vertical="center"/>
    </xf>
    <xf numFmtId="0" fontId="0" fillId="4" borderId="0" xfId="18" applyFont="1" applyFill="1" applyAlignment="1">
      <alignment horizontal="center" vertical="center"/>
    </xf>
    <xf numFmtId="9" fontId="1" fillId="4" borderId="0" xfId="4" applyFont="1" applyFill="1" applyAlignment="1">
      <alignment horizontal="center" vertical="center"/>
    </xf>
    <xf numFmtId="0" fontId="0" fillId="5" borderId="0" xfId="0" applyFill="1" applyAlignment="1">
      <alignment horizontal="center" vertical="center" wrapText="1"/>
    </xf>
    <xf numFmtId="0" fontId="1" fillId="6" borderId="3" xfId="0" applyFont="1" applyFill="1" applyBorder="1" applyAlignment="1">
      <alignment horizontal="center" vertical="center" wrapText="1"/>
    </xf>
    <xf numFmtId="0" fontId="0" fillId="2" borderId="0" xfId="0" applyAlignment="1">
      <alignment horizontal="center" vertical="center" wrapText="1"/>
    </xf>
    <xf numFmtId="0" fontId="22" fillId="4" borderId="0" xfId="13" applyFont="1" applyFill="1">
      <alignment horizontal="right" vertical="center"/>
    </xf>
    <xf numFmtId="0" fontId="23" fillId="4" borderId="0" xfId="13" applyFont="1" applyFill="1">
      <alignment horizontal="right" vertical="center"/>
    </xf>
    <xf numFmtId="0" fontId="22" fillId="4" borderId="0" xfId="0" applyFont="1" applyFill="1">
      <alignment vertical="center" wrapText="1"/>
    </xf>
    <xf numFmtId="9" fontId="21" fillId="4" borderId="0" xfId="4" applyFont="1" applyFill="1">
      <alignment horizontal="left" vertical="center"/>
    </xf>
    <xf numFmtId="0" fontId="15" fillId="7" borderId="0" xfId="5" applyFont="1" applyFill="1" applyAlignment="1">
      <alignment horizontal="center" vertical="center"/>
    </xf>
    <xf numFmtId="0" fontId="15" fillId="7" borderId="0" xfId="5" applyFont="1" applyFill="1" applyAlignment="1">
      <alignment horizontal="left" vertical="center"/>
    </xf>
    <xf numFmtId="0" fontId="17" fillId="7" borderId="0" xfId="17" applyFont="1" applyFill="1" applyAlignment="1">
      <alignment horizontal="left" vertical="center"/>
    </xf>
    <xf numFmtId="0" fontId="2" fillId="7" borderId="0" xfId="16" applyFill="1" applyAlignment="1">
      <alignment vertical="center" wrapText="1"/>
    </xf>
    <xf numFmtId="0" fontId="24" fillId="7" borderId="0" xfId="17" applyFont="1" applyFill="1" applyAlignment="1">
      <alignment horizontal="left" vertical="center"/>
    </xf>
    <xf numFmtId="0" fontId="19" fillId="0" borderId="2" xfId="2" applyFont="1" applyFill="1" applyBorder="1" applyAlignment="1">
      <alignment horizontal="center" vertical="center" wrapText="1"/>
    </xf>
    <xf numFmtId="0" fontId="13" fillId="0" borderId="2" xfId="2" applyFont="1" applyFill="1" applyBorder="1" applyAlignment="1">
      <alignment horizontal="center" vertical="center" wrapText="1"/>
    </xf>
    <xf numFmtId="0" fontId="19" fillId="0" borderId="2" xfId="2" applyFont="1" applyFill="1" applyBorder="1" applyAlignment="1">
      <alignment horizontal="left" vertical="center"/>
    </xf>
    <xf numFmtId="0" fontId="20" fillId="0" borderId="2" xfId="2" applyFont="1" applyFill="1" applyBorder="1" applyAlignment="1">
      <alignment horizontal="center" vertical="center" wrapText="1"/>
    </xf>
    <xf numFmtId="0" fontId="28" fillId="8" borderId="4" xfId="19" applyFont="1" applyFill="1" applyBorder="1" applyAlignment="1">
      <alignment horizontal="center" vertical="center" wrapText="1" justifyLastLine="1" shrinkToFit="1"/>
    </xf>
    <xf numFmtId="0" fontId="27" fillId="0" borderId="0" xfId="19" applyAlignment="1">
      <alignment horizontal="right" vertical="center" wrapText="1" indent="1" justifyLastLine="1" shrinkToFit="1"/>
    </xf>
    <xf numFmtId="0" fontId="27" fillId="0" borderId="0" xfId="19"/>
    <xf numFmtId="0" fontId="27" fillId="9" borderId="0" xfId="19" applyFill="1" applyAlignment="1">
      <alignment horizontal="right" vertical="top" wrapText="1"/>
    </xf>
    <xf numFmtId="0" fontId="27" fillId="10" borderId="0" xfId="19" applyFill="1" applyAlignment="1">
      <alignment horizontal="right" vertical="top" wrapText="1"/>
    </xf>
    <xf numFmtId="0" fontId="27" fillId="11" borderId="0" xfId="19" applyFill="1" applyAlignment="1">
      <alignment horizontal="right" vertical="top" wrapText="1"/>
    </xf>
    <xf numFmtId="0" fontId="1" fillId="6" borderId="5" xfId="0" applyFont="1" applyFill="1" applyBorder="1" applyAlignment="1">
      <alignment horizontal="center" vertical="center" wrapText="1"/>
    </xf>
    <xf numFmtId="0" fontId="21" fillId="6" borderId="5" xfId="0" applyFont="1" applyFill="1" applyBorder="1" applyAlignment="1">
      <alignment horizontal="left" vertical="center" wrapText="1"/>
    </xf>
    <xf numFmtId="0" fontId="21" fillId="6" borderId="5" xfId="0" applyFont="1" applyFill="1" applyBorder="1" applyAlignment="1">
      <alignment horizontal="left" vertical="center"/>
    </xf>
    <xf numFmtId="0" fontId="21" fillId="6" borderId="5" xfId="0" applyFont="1" applyFill="1" applyBorder="1">
      <alignment vertical="center" wrapText="1"/>
    </xf>
    <xf numFmtId="0" fontId="21" fillId="6" borderId="5" xfId="0" applyFont="1" applyFill="1" applyBorder="1" applyAlignment="1">
      <alignment horizontal="center" vertical="center" wrapText="1"/>
    </xf>
    <xf numFmtId="37" fontId="21" fillId="6" borderId="5" xfId="10" applyFont="1" applyFill="1" applyBorder="1" applyAlignment="1">
      <alignment horizontal="center" vertical="center"/>
    </xf>
    <xf numFmtId="0" fontId="10" fillId="6" borderId="5" xfId="14" applyFill="1" applyBorder="1">
      <alignment vertical="center" wrapText="1"/>
    </xf>
    <xf numFmtId="0" fontId="1" fillId="2" borderId="5" xfId="0" applyFont="1" applyBorder="1" applyAlignment="1">
      <alignment horizontal="center" vertical="center" wrapText="1"/>
    </xf>
    <xf numFmtId="0" fontId="21" fillId="2" borderId="5" xfId="0" applyFont="1" applyBorder="1">
      <alignment vertical="center" wrapText="1"/>
    </xf>
    <xf numFmtId="0" fontId="21" fillId="2" borderId="5" xfId="0" applyFont="1" applyBorder="1" applyAlignment="1">
      <alignment vertical="center"/>
    </xf>
    <xf numFmtId="0" fontId="21" fillId="2" borderId="5" xfId="0" applyFont="1" applyBorder="1" applyAlignment="1">
      <alignment horizontal="center" vertical="center" wrapText="1"/>
    </xf>
    <xf numFmtId="37" fontId="21" fillId="2" borderId="5" xfId="10" applyFont="1" applyFill="1" applyBorder="1" applyAlignment="1">
      <alignment horizontal="center" vertical="center"/>
    </xf>
    <xf numFmtId="0" fontId="10" fillId="2" borderId="5" xfId="14" applyBorder="1">
      <alignment vertical="center" wrapText="1"/>
    </xf>
    <xf numFmtId="0" fontId="21" fillId="6" borderId="5" xfId="0" applyFont="1" applyFill="1" applyBorder="1" applyAlignment="1">
      <alignment vertical="center"/>
    </xf>
    <xf numFmtId="0" fontId="10" fillId="6" borderId="5" xfId="14" applyFill="1" applyBorder="1" applyAlignment="1">
      <alignment vertical="center" wrapText="1"/>
    </xf>
    <xf numFmtId="0" fontId="21" fillId="6" borderId="3" xfId="0" applyFont="1" applyFill="1" applyBorder="1">
      <alignment vertical="center" wrapText="1"/>
    </xf>
    <xf numFmtId="0" fontId="21" fillId="6" borderId="3" xfId="0" applyFont="1" applyFill="1" applyBorder="1" applyAlignment="1">
      <alignment horizontal="center" vertical="center" wrapText="1"/>
    </xf>
    <xf numFmtId="37" fontId="21" fillId="6" borderId="3" xfId="10" applyFont="1" applyFill="1" applyBorder="1" applyAlignment="1">
      <alignment horizontal="center" vertical="center"/>
    </xf>
    <xf numFmtId="0" fontId="10" fillId="6" borderId="3" xfId="14" applyFill="1" applyBorder="1">
      <alignment vertical="center" wrapText="1"/>
    </xf>
    <xf numFmtId="0" fontId="10" fillId="0" borderId="0" xfId="14" applyFill="1" applyAlignment="1">
      <alignment horizontal="right" vertical="center" wrapText="1" indent="1" justifyLastLine="1" shrinkToFit="1"/>
    </xf>
    <xf numFmtId="0" fontId="30" fillId="0" borderId="2" xfId="2" applyFont="1" applyFill="1" applyBorder="1" applyAlignment="1">
      <alignment horizontal="center" vertical="center" wrapText="1"/>
    </xf>
    <xf numFmtId="0" fontId="22" fillId="4" borderId="6" xfId="13" applyFont="1" applyFill="1" applyBorder="1">
      <alignment horizontal="right" vertical="center"/>
    </xf>
    <xf numFmtId="7" fontId="22" fillId="4" borderId="6" xfId="11" applyFont="1" applyFill="1" applyBorder="1">
      <alignment horizontal="right" vertical="center"/>
    </xf>
    <xf numFmtId="0" fontId="22" fillId="4" borderId="7" xfId="13" applyFont="1" applyFill="1" applyBorder="1">
      <alignment horizontal="right" vertical="center"/>
    </xf>
    <xf numFmtId="7" fontId="22" fillId="4" borderId="7" xfId="11" applyFont="1" applyFill="1" applyBorder="1">
      <alignment horizontal="right" vertical="center"/>
    </xf>
    <xf numFmtId="0" fontId="22" fillId="4" borderId="7" xfId="13" applyFont="1" applyFill="1" applyBorder="1" applyAlignment="1">
      <alignment horizontal="right" vertical="center" wrapText="1"/>
    </xf>
    <xf numFmtId="0" fontId="22" fillId="4" borderId="6" xfId="13" applyFont="1" applyFill="1" applyBorder="1" applyAlignment="1">
      <alignment horizontal="right" vertical="center" wrapText="1"/>
    </xf>
    <xf numFmtId="0" fontId="31" fillId="8" borderId="4" xfId="19" applyFont="1" applyFill="1" applyBorder="1" applyAlignment="1">
      <alignment horizontal="center" vertical="center" wrapText="1" justifyLastLine="1" shrinkToFit="1"/>
    </xf>
    <xf numFmtId="0" fontId="32" fillId="8" borderId="4" xfId="19" applyFont="1" applyFill="1" applyBorder="1" applyAlignment="1">
      <alignment horizontal="center" vertical="center" wrapText="1" justifyLastLine="1" shrinkToFit="1"/>
    </xf>
    <xf numFmtId="0" fontId="33" fillId="8" borderId="4" xfId="19" applyFont="1" applyFill="1" applyBorder="1" applyAlignment="1">
      <alignment horizontal="center" vertical="center" wrapText="1" justifyLastLine="1" shrinkToFit="1"/>
    </xf>
    <xf numFmtId="0" fontId="34" fillId="8" borderId="4" xfId="19" applyFont="1" applyFill="1" applyBorder="1" applyAlignment="1">
      <alignment horizontal="center" vertical="center" wrapText="1" justifyLastLine="1" shrinkToFit="1"/>
    </xf>
    <xf numFmtId="0" fontId="35" fillId="0" borderId="0" xfId="19" applyFont="1"/>
    <xf numFmtId="0" fontId="36" fillId="8" borderId="4" xfId="19" applyFont="1" applyFill="1" applyBorder="1" applyAlignment="1">
      <alignment horizontal="center" vertical="center" wrapText="1" justifyLastLine="1" shrinkToFit="1"/>
    </xf>
    <xf numFmtId="0" fontId="37" fillId="0" borderId="0" xfId="19" applyFont="1"/>
    <xf numFmtId="0" fontId="38" fillId="0" borderId="0" xfId="19" applyFont="1"/>
    <xf numFmtId="0" fontId="27" fillId="0" borderId="0" xfId="19" applyAlignment="1">
      <alignment horizontal="right" vertical="center" wrapText="1" justifyLastLine="1" shrinkToFit="1"/>
    </xf>
    <xf numFmtId="0" fontId="22" fillId="4" borderId="7" xfId="13" applyFont="1" applyFill="1" applyBorder="1" applyAlignment="1">
      <alignment horizontal="right" vertical="center" wrapText="1"/>
    </xf>
    <xf numFmtId="0" fontId="22" fillId="4" borderId="8" xfId="13" applyFont="1" applyFill="1" applyBorder="1" applyAlignment="1">
      <alignment horizontal="right" vertical="center" wrapText="1"/>
    </xf>
    <xf numFmtId="0" fontId="29" fillId="2" borderId="3" xfId="0" applyFont="1" applyBorder="1" applyAlignment="1">
      <alignment horizontal="left" vertical="center" wrapText="1"/>
    </xf>
    <xf numFmtId="7" fontId="22" fillId="4" borderId="6" xfId="11" applyFont="1" applyFill="1" applyBorder="1" applyAlignment="1">
      <alignment horizontal="right" vertical="center" wrapText="1"/>
    </xf>
    <xf numFmtId="7" fontId="22" fillId="4" borderId="7" xfId="11" applyFont="1" applyFill="1" applyBorder="1" applyAlignment="1">
      <alignment horizontal="right" vertical="center" wrapText="1"/>
    </xf>
    <xf numFmtId="0" fontId="22" fillId="4" borderId="7" xfId="13" applyNumberFormat="1" applyFont="1" applyFill="1" applyBorder="1" applyAlignment="1">
      <alignment horizontal="right" vertical="center" wrapText="1"/>
    </xf>
    <xf numFmtId="0" fontId="22" fillId="4" borderId="8" xfId="13" applyFont="1" applyFill="1" applyBorder="1" applyAlignment="1">
      <alignment horizontal="center" vertical="center" wrapText="1"/>
    </xf>
    <xf numFmtId="0" fontId="22" fillId="4" borderId="6" xfId="13" applyFont="1" applyFill="1" applyBorder="1" applyAlignment="1">
      <alignment horizontal="right" vertical="center" wrapText="1"/>
    </xf>
    <xf numFmtId="0" fontId="39" fillId="8" borderId="4" xfId="19" applyFont="1" applyFill="1" applyBorder="1" applyAlignment="1">
      <alignment horizontal="center" vertical="center" wrapText="1" justifyLastLine="1" shrinkToFit="1"/>
    </xf>
    <xf numFmtId="0" fontId="40" fillId="8" borderId="4" xfId="19" applyFont="1" applyFill="1" applyBorder="1" applyAlignment="1">
      <alignment horizontal="center" vertical="center" wrapText="1" justifyLastLine="1" shrinkToFit="1"/>
    </xf>
    <xf numFmtId="0" fontId="41" fillId="8" borderId="4" xfId="19" applyFont="1" applyFill="1" applyBorder="1" applyAlignment="1">
      <alignment horizontal="center" vertical="center" wrapText="1" justifyLastLine="1" shrinkToFit="1"/>
    </xf>
    <xf numFmtId="0" fontId="27" fillId="0" borderId="0" xfId="19" applyFill="1" applyAlignment="1">
      <alignment horizontal="center" vertical="top" wrapText="1"/>
    </xf>
    <xf numFmtId="0" fontId="27" fillId="0" borderId="0" xfId="19" applyFill="1" applyAlignment="1">
      <alignment horizontal="right" vertical="top" wrapText="1"/>
    </xf>
  </cellXfs>
  <cellStyles count="20">
    <cellStyle name="20% - 着色 4" xfId="16" builtinId="42"/>
    <cellStyle name="Budget labels" xfId="13" xr:uid="{00000000-0005-0000-0000-000001000000}"/>
    <cellStyle name="Done" xfId="12" xr:uid="{00000000-0005-0000-0000-000005000000}"/>
    <cellStyle name="Title 2" xfId="17" xr:uid="{00000000-0005-0000-0000-000010000000}"/>
    <cellStyle name="zHide text" xfId="6" xr:uid="{00000000-0005-0000-0000-000012000000}"/>
    <cellStyle name="千位分隔" xfId="10" builtinId="3" customBuiltin="1"/>
    <cellStyle name="已访问的超链接" xfId="15" builtinId="9" customBuiltin="1"/>
    <cellStyle name="常规" xfId="0" builtinId="0" customBuiltin="1"/>
    <cellStyle name="常规 2" xfId="19" xr:uid="{FE971702-C168-43EA-B5E5-9C8C44986D14}"/>
    <cellStyle name="标题" xfId="5" builtinId="15" customBuiltin="1"/>
    <cellStyle name="标题 1" xfId="1" builtinId="16" customBuiltin="1"/>
    <cellStyle name="标题 2" xfId="2" builtinId="17" customBuiltin="1"/>
    <cellStyle name="标题 3" xfId="7" builtinId="18" customBuiltin="1"/>
    <cellStyle name="标题 4" xfId="8" builtinId="19" customBuiltin="1"/>
    <cellStyle name="汇总" xfId="9" builtinId="25" customBuiltin="1"/>
    <cellStyle name="百分比" xfId="4" builtinId="5" customBuiltin="1"/>
    <cellStyle name="解释性文本" xfId="18" builtinId="53" customBuiltin="1"/>
    <cellStyle name="货币" xfId="3" builtinId="4" customBuiltin="1"/>
    <cellStyle name="货币[0]" xfId="11" builtinId="7" customBuiltin="1"/>
    <cellStyle name="超链接" xfId="14" builtinId="8" customBuiltin="1"/>
  </cellStyles>
  <dxfs count="13">
    <dxf>
      <font>
        <color theme="0"/>
      </font>
    </dxf>
    <dxf>
      <font>
        <color theme="0"/>
      </font>
    </dxf>
    <dxf>
      <font>
        <color theme="0"/>
      </font>
    </dxf>
    <dxf>
      <font>
        <color theme="0"/>
      </font>
    </dxf>
    <dxf>
      <font>
        <color theme="0"/>
      </font>
    </dxf>
    <dxf>
      <font>
        <color theme="0"/>
      </font>
    </dxf>
    <dxf>
      <font>
        <color theme="0"/>
      </font>
    </dxf>
    <dxf>
      <font>
        <color theme="0"/>
      </font>
    </dxf>
    <dxf>
      <font>
        <color theme="4" tint="-0.24994659260841701"/>
      </font>
      <border>
        <bottom style="thin">
          <color theme="4"/>
        </bottom>
        <vertical/>
        <horizontal/>
      </border>
    </dxf>
    <dxf>
      <font>
        <color theme="4" tint="-0.24994659260841701"/>
      </font>
      <fill>
        <patternFill patternType="none">
          <bgColor auto="1"/>
        </patternFill>
      </fill>
      <border>
        <left style="thin">
          <color theme="4"/>
        </left>
        <right style="thin">
          <color theme="4"/>
        </right>
        <top style="thin">
          <color theme="4"/>
        </top>
        <bottom style="thin">
          <color theme="4"/>
        </bottom>
        <vertical/>
        <horizontal/>
      </border>
    </dxf>
    <dxf>
      <font>
        <b val="0"/>
        <i val="0"/>
      </font>
      <fill>
        <patternFill patternType="solid">
          <fgColor theme="0" tint="-0.14993743705557422"/>
          <bgColor theme="0" tint="-4.9989318521683403E-2"/>
        </patternFill>
      </fill>
    </dxf>
    <dxf>
      <font>
        <b/>
        <i val="0"/>
      </font>
      <fill>
        <patternFill patternType="none">
          <bgColor auto="1"/>
        </patternFill>
      </fill>
      <border>
        <top/>
        <bottom style="thick">
          <color theme="2" tint="-0.499984740745262"/>
        </bottom>
      </border>
    </dxf>
    <dxf>
      <font>
        <b val="0"/>
        <i val="0"/>
        <color theme="1"/>
      </font>
      <border diagonalUp="0" diagonalDown="0">
        <left/>
        <right/>
        <top style="dotted">
          <color theme="2" tint="-0.499984740745262"/>
        </top>
        <bottom style="dotted">
          <color theme="2" tint="-0.499984740745262"/>
        </bottom>
        <vertical/>
        <horizontal style="dotted">
          <color theme="2" tint="-0.499984740745262"/>
        </horizontal>
      </border>
    </dxf>
  </dxfs>
  <tableStyles count="2" defaultTableStyle="College Checklist" defaultPivotStyle="PivotStyleLight16">
    <tableStyle name="College Checklist" pivot="0" count="3" xr9:uid="{00000000-0011-0000-FFFF-FFFF00000000}">
      <tableStyleElement type="wholeTable" dxfId="12"/>
      <tableStyleElement type="headerRow" dxfId="11"/>
      <tableStyleElement type="firstRowStripe" dxfId="10"/>
    </tableStyle>
    <tableStyle name="Shopping List" pivot="0" table="0" count="10" xr9:uid="{00000000-0011-0000-FFFF-FFFF01000000}">
      <tableStyleElement type="wholeTable" dxfId="9"/>
      <tableStyleElement type="headerRow" dxfId="8"/>
    </tableStyle>
  </tableStyles>
  <colors>
    <mruColors>
      <color rgb="FF0066FF"/>
      <color rgb="FFD8EFF1"/>
      <color rgb="FFEAEAE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hopping List">
        <x14:slicerStyle name="Shopping 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786409381665122E-2"/>
          <c:y val="0.25048243969503814"/>
          <c:w val="0.90471623009879287"/>
          <c:h val="0.39820022497187851"/>
        </c:manualLayout>
      </c:layout>
      <c:barChart>
        <c:barDir val="bar"/>
        <c:grouping val="clustered"/>
        <c:varyColors val="0"/>
        <c:ser>
          <c:idx val="0"/>
          <c:order val="0"/>
          <c:tx>
            <c:strRef>
              <c:f>HealthReport!$A$1</c:f>
              <c:strCache>
                <c:ptCount val="1"/>
              </c:strCache>
            </c:strRef>
          </c:tx>
          <c:spPr>
            <a:solidFill>
              <a:schemeClr val="accent4">
                <a:lumMod val="75000"/>
              </a:schemeClr>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1-129A-442B-AB08-6F070EE98C93}"/>
              </c:ext>
            </c:extLst>
          </c:dPt>
          <c:dLbls>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extLst>
                <c:ext xmlns:c16="http://schemas.microsoft.com/office/drawing/2014/chart" uri="{C3380CC4-5D6E-409C-BE32-E72D297353CC}">
                  <c16:uniqueId val="{00000001-129A-442B-AB08-6F070EE98C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HealthReport!$L$25</c:f>
              <c:numCache>
                <c:formatCode>General</c:formatCode>
                <c:ptCount val="1"/>
              </c:numCache>
            </c:numRef>
          </c:cat>
          <c:val>
            <c:numRef>
              <c:f>HealthReport!$L$26</c:f>
              <c:numCache>
                <c:formatCode>General</c:formatCode>
                <c:ptCount val="1"/>
                <c:pt idx="0">
                  <c:v>0.52307692307692311</c:v>
                </c:pt>
              </c:numCache>
            </c:numRef>
          </c:val>
          <c:extLst>
            <c:ext xmlns:c16="http://schemas.microsoft.com/office/drawing/2014/chart" uri="{C3380CC4-5D6E-409C-BE32-E72D297353CC}">
              <c16:uniqueId val="{00000002-129A-442B-AB08-6F070EE98C93}"/>
            </c:ext>
          </c:extLst>
        </c:ser>
        <c:dLbls>
          <c:showLegendKey val="0"/>
          <c:showVal val="0"/>
          <c:showCatName val="0"/>
          <c:showSerName val="0"/>
          <c:showPercent val="0"/>
          <c:showBubbleSize val="0"/>
        </c:dLbls>
        <c:gapWidth val="7"/>
        <c:axId val="564033872"/>
        <c:axId val="564033480"/>
      </c:barChart>
      <c:valAx>
        <c:axId val="564033480"/>
        <c:scaling>
          <c:orientation val="minMax"/>
          <c:max val="1"/>
          <c:min val="0"/>
        </c:scaling>
        <c:delete val="0"/>
        <c:axPos val="b"/>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1100" b="0" i="1" u="none" strike="noStrike" kern="1200" baseline="0">
                <a:solidFill>
                  <a:schemeClr val="tx1"/>
                </a:solidFill>
                <a:latin typeface="+mn-lt"/>
                <a:ea typeface="+mn-ea"/>
                <a:cs typeface="+mn-cs"/>
              </a:defRPr>
            </a:pPr>
            <a:endParaRPr lang="zh-CN"/>
          </a:p>
        </c:txPr>
        <c:crossAx val="564033872"/>
        <c:crosses val="autoZero"/>
        <c:crossBetween val="between"/>
        <c:majorUnit val="0.25"/>
      </c:valAx>
      <c:catAx>
        <c:axId val="564033872"/>
        <c:scaling>
          <c:orientation val="minMax"/>
        </c:scaling>
        <c:delete val="1"/>
        <c:axPos val="l"/>
        <c:numFmt formatCode="General" sourceLinked="1"/>
        <c:majorTickMark val="none"/>
        <c:minorTickMark val="none"/>
        <c:tickLblPos val="nextTo"/>
        <c:crossAx val="564033480"/>
        <c:crosses val="autoZero"/>
        <c:auto val="1"/>
        <c:lblAlgn val="ctr"/>
        <c:lblOffset val="100"/>
        <c:noMultiLvlLbl val="0"/>
      </c:catAx>
      <c:spPr>
        <a:noFill/>
        <a:ln w="25400" cap="flat">
          <a:solidFill>
            <a:schemeClr val="tx1">
              <a:alpha val="99000"/>
            </a:schemeClr>
          </a:solidFill>
          <a:round/>
        </a:ln>
        <a:effectLst/>
      </c:spPr>
    </c:plotArea>
    <c:plotVisOnly val="1"/>
    <c:dispBlanksAs val="gap"/>
    <c:showDLblsOverMax val="0"/>
  </c:chart>
  <c:spPr>
    <a:no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noFill/>
        </a:ln>
        <a:effectLst/>
        <a:sp3d/>
      </c:spPr>
    </c:sideWall>
    <c:backWall>
      <c:thickness val="0"/>
      <c:spPr>
        <a:gradFill flip="none" rotWithShape="1">
          <a:gsLst>
            <a:gs pos="34000">
              <a:schemeClr val="tx2">
                <a:lumMod val="10000"/>
                <a:lumOff val="90000"/>
              </a:schemeClr>
            </a:gs>
            <a:gs pos="0">
              <a:schemeClr val="bg1">
                <a:lumMod val="85000"/>
              </a:schemeClr>
            </a:gs>
            <a:gs pos="100000">
              <a:schemeClr val="bg1">
                <a:lumMod val="75000"/>
              </a:schemeClr>
            </a:gs>
          </a:gsLst>
          <a:path path="shape">
            <a:fillToRect l="50000" t="50000" r="50000" b="50000"/>
          </a:path>
          <a:tileRect/>
        </a:gradFill>
        <a:ln w="9525">
          <a:solidFill>
            <a:schemeClr val="tx1"/>
          </a:solidFill>
        </a:ln>
        <a:effectLst/>
        <a:sp3d contourW="9525">
          <a:contourClr>
            <a:schemeClr val="tx1"/>
          </a:contourClr>
        </a:sp3d>
      </c:spPr>
    </c:backWall>
    <c:plotArea>
      <c:layout>
        <c:manualLayout>
          <c:layoutTarget val="inner"/>
          <c:xMode val="edge"/>
          <c:yMode val="edge"/>
          <c:x val="0.27374442229583901"/>
          <c:y val="5.1366979378933877E-2"/>
          <c:w val="0.66862974927011976"/>
          <c:h val="0.73348296065002583"/>
        </c:manualLayout>
      </c:layout>
      <c:bar3DChart>
        <c:barDir val="bar"/>
        <c:grouping val="stacked"/>
        <c:varyColors val="0"/>
        <c:ser>
          <c:idx val="0"/>
          <c:order val="0"/>
          <c:tx>
            <c:strRef>
              <c:f>HealthReport!$D$14</c:f>
              <c:strCache>
                <c:ptCount val="1"/>
                <c:pt idx="0">
                  <c:v>重要</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HealthReport!$C$15:$C$22</c:f>
              <c:strCache>
                <c:ptCount val="8"/>
                <c:pt idx="0">
                  <c:v>主机系统分析</c:v>
                </c:pt>
                <c:pt idx="1">
                  <c:v>数据库实例分析</c:v>
                </c:pt>
                <c:pt idx="2">
                  <c:v>数据库集群检查</c:v>
                </c:pt>
                <c:pt idx="3">
                  <c:v>DataGuard检查</c:v>
                </c:pt>
                <c:pt idx="4">
                  <c:v>数据库备份检查</c:v>
                </c:pt>
                <c:pt idx="5">
                  <c:v>数据库安全检查</c:v>
                </c:pt>
                <c:pt idx="6">
                  <c:v>软件使用分析</c:v>
                </c:pt>
                <c:pt idx="7">
                  <c:v>其他项检查</c:v>
                </c:pt>
              </c:strCache>
            </c:strRef>
          </c:cat>
          <c:val>
            <c:numRef>
              <c:f>HealthReport!$D$15:$D$22</c:f>
              <c:numCache>
                <c:formatCode>General</c:formatCode>
                <c:ptCount val="8"/>
                <c:pt idx="0">
                  <c:v>3</c:v>
                </c:pt>
                <c:pt idx="1">
                  <c:v>5</c:v>
                </c:pt>
                <c:pt idx="2">
                  <c:v>1</c:v>
                </c:pt>
                <c:pt idx="3">
                  <c:v>0</c:v>
                </c:pt>
                <c:pt idx="4">
                  <c:v>0</c:v>
                </c:pt>
                <c:pt idx="5">
                  <c:v>0</c:v>
                </c:pt>
                <c:pt idx="6">
                  <c:v>0</c:v>
                </c:pt>
                <c:pt idx="7">
                  <c:v>0</c:v>
                </c:pt>
              </c:numCache>
            </c:numRef>
          </c:val>
          <c:extLst>
            <c:ext xmlns:c16="http://schemas.microsoft.com/office/drawing/2014/chart" uri="{C3380CC4-5D6E-409C-BE32-E72D297353CC}">
              <c16:uniqueId val="{00000000-8CB5-422E-B41C-38AD1D946952}"/>
            </c:ext>
          </c:extLst>
        </c:ser>
        <c:ser>
          <c:idx val="1"/>
          <c:order val="1"/>
          <c:tx>
            <c:strRef>
              <c:f>HealthReport!$E$14</c:f>
              <c:strCache>
                <c:ptCount val="1"/>
                <c:pt idx="0">
                  <c:v>普通</c:v>
                </c:pt>
              </c:strCache>
            </c:strRef>
          </c:tx>
          <c:spPr>
            <a:solidFill>
              <a:srgbClr val="0070C0"/>
            </a:solidFill>
            <a:ln>
              <a:solidFill>
                <a:srgbClr val="0070C0"/>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contourClr>
                <a:srgbClr val="0070C0"/>
              </a:contourClr>
            </a:sp3d>
          </c:spPr>
          <c:invertIfNegative val="0"/>
          <c:cat>
            <c:strRef>
              <c:f>HealthReport!$C$15:$C$22</c:f>
              <c:strCache>
                <c:ptCount val="8"/>
                <c:pt idx="0">
                  <c:v>主机系统分析</c:v>
                </c:pt>
                <c:pt idx="1">
                  <c:v>数据库实例分析</c:v>
                </c:pt>
                <c:pt idx="2">
                  <c:v>数据库集群检查</c:v>
                </c:pt>
                <c:pt idx="3">
                  <c:v>DataGuard检查</c:v>
                </c:pt>
                <c:pt idx="4">
                  <c:v>数据库备份检查</c:v>
                </c:pt>
                <c:pt idx="5">
                  <c:v>数据库安全检查</c:v>
                </c:pt>
                <c:pt idx="6">
                  <c:v>软件使用分析</c:v>
                </c:pt>
                <c:pt idx="7">
                  <c:v>其他项检查</c:v>
                </c:pt>
              </c:strCache>
            </c:strRef>
          </c:cat>
          <c:val>
            <c:numRef>
              <c:f>HealthReport!$E$15:$E$22</c:f>
              <c:numCache>
                <c:formatCode>General</c:formatCode>
                <c:ptCount val="8"/>
                <c:pt idx="0">
                  <c:v>5</c:v>
                </c:pt>
                <c:pt idx="1">
                  <c:v>5</c:v>
                </c:pt>
                <c:pt idx="2">
                  <c:v>0</c:v>
                </c:pt>
                <c:pt idx="3">
                  <c:v>0</c:v>
                </c:pt>
                <c:pt idx="4">
                  <c:v>0</c:v>
                </c:pt>
                <c:pt idx="5">
                  <c:v>0</c:v>
                </c:pt>
                <c:pt idx="6">
                  <c:v>0</c:v>
                </c:pt>
                <c:pt idx="7">
                  <c:v>0</c:v>
                </c:pt>
              </c:numCache>
            </c:numRef>
          </c:val>
          <c:extLst>
            <c:ext xmlns:c16="http://schemas.microsoft.com/office/drawing/2014/chart" uri="{C3380CC4-5D6E-409C-BE32-E72D297353CC}">
              <c16:uniqueId val="{00000001-8CB5-422E-B41C-38AD1D946952}"/>
            </c:ext>
          </c:extLst>
        </c:ser>
        <c:ser>
          <c:idx val="2"/>
          <c:order val="2"/>
          <c:tx>
            <c:strRef>
              <c:f>HealthReport!$F$14</c:f>
              <c:strCache>
                <c:ptCount val="1"/>
                <c:pt idx="0">
                  <c:v>轻微</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HealthReport!$C$15:$C$22</c:f>
              <c:strCache>
                <c:ptCount val="8"/>
                <c:pt idx="0">
                  <c:v>主机系统分析</c:v>
                </c:pt>
                <c:pt idx="1">
                  <c:v>数据库实例分析</c:v>
                </c:pt>
                <c:pt idx="2">
                  <c:v>数据库集群检查</c:v>
                </c:pt>
                <c:pt idx="3">
                  <c:v>DataGuard检查</c:v>
                </c:pt>
                <c:pt idx="4">
                  <c:v>数据库备份检查</c:v>
                </c:pt>
                <c:pt idx="5">
                  <c:v>数据库安全检查</c:v>
                </c:pt>
                <c:pt idx="6">
                  <c:v>软件使用分析</c:v>
                </c:pt>
                <c:pt idx="7">
                  <c:v>其他项检查</c:v>
                </c:pt>
              </c:strCache>
            </c:strRef>
          </c:cat>
          <c:val>
            <c:numRef>
              <c:f>HealthReport!$F$15:$F$22</c:f>
              <c:numCache>
                <c:formatCode>General</c:formatCode>
                <c:ptCount val="8"/>
                <c:pt idx="0">
                  <c:v>1</c:v>
                </c:pt>
                <c:pt idx="1">
                  <c:v>5</c:v>
                </c:pt>
                <c:pt idx="2">
                  <c:v>0</c:v>
                </c:pt>
                <c:pt idx="3">
                  <c:v>0</c:v>
                </c:pt>
                <c:pt idx="4">
                  <c:v>0</c:v>
                </c:pt>
                <c:pt idx="5">
                  <c:v>0</c:v>
                </c:pt>
                <c:pt idx="6">
                  <c:v>0</c:v>
                </c:pt>
                <c:pt idx="7">
                  <c:v>0</c:v>
                </c:pt>
              </c:numCache>
            </c:numRef>
          </c:val>
          <c:extLst>
            <c:ext xmlns:c16="http://schemas.microsoft.com/office/drawing/2014/chart" uri="{C3380CC4-5D6E-409C-BE32-E72D297353CC}">
              <c16:uniqueId val="{00000002-8CB5-422E-B41C-38AD1D946952}"/>
            </c:ext>
          </c:extLst>
        </c:ser>
        <c:dLbls>
          <c:showLegendKey val="0"/>
          <c:showVal val="0"/>
          <c:showCatName val="0"/>
          <c:showSerName val="0"/>
          <c:showPercent val="0"/>
          <c:showBubbleSize val="0"/>
        </c:dLbls>
        <c:gapWidth val="65"/>
        <c:gapDepth val="390"/>
        <c:shape val="box"/>
        <c:axId val="984238799"/>
        <c:axId val="984241679"/>
        <c:axId val="0"/>
      </c:bar3DChart>
      <c:catAx>
        <c:axId val="98423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ln>
                  <a:noFill/>
                </a:ln>
                <a:solidFill>
                  <a:schemeClr val="tx1"/>
                </a:solidFill>
                <a:latin typeface="+mn-lt"/>
                <a:ea typeface="+mn-ea"/>
                <a:cs typeface="+mn-cs"/>
              </a:defRPr>
            </a:pPr>
            <a:endParaRPr lang="zh-CN"/>
          </a:p>
        </c:txPr>
        <c:crossAx val="984241679"/>
        <c:crosses val="autoZero"/>
        <c:auto val="1"/>
        <c:lblAlgn val="l"/>
        <c:lblOffset val="100"/>
        <c:noMultiLvlLbl val="0"/>
      </c:catAx>
      <c:valAx>
        <c:axId val="984241679"/>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zh-CN"/>
          </a:p>
        </c:txPr>
        <c:crossAx val="98423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26000">
          <a:schemeClr val="bg1">
            <a:lumMod val="65000"/>
          </a:schemeClr>
        </a:gs>
        <a:gs pos="0">
          <a:schemeClr val="bg1">
            <a:lumMod val="65000"/>
          </a:schemeClr>
        </a:gs>
        <a:gs pos="98000">
          <a:schemeClr val="tx1">
            <a:lumMod val="50000"/>
            <a:lumOff val="50000"/>
          </a:schemeClr>
        </a:gs>
      </a:gsLst>
      <a:path path="circle">
        <a:fillToRect l="50000" t="50000" r="50000" b="50000"/>
      </a:path>
      <a:tileRect/>
    </a:gradFill>
    <a:ln>
      <a:noFill/>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40239</xdr:colOff>
      <xdr:row>0</xdr:row>
      <xdr:rowOff>162145</xdr:rowOff>
    </xdr:from>
    <xdr:to>
      <xdr:col>11</xdr:col>
      <xdr:colOff>94320</xdr:colOff>
      <xdr:row>0</xdr:row>
      <xdr:rowOff>834610</xdr:rowOff>
    </xdr:to>
    <xdr:pic>
      <xdr:nvPicPr>
        <xdr:cNvPr id="4" name="图片 3">
          <a:extLst>
            <a:ext uri="{FF2B5EF4-FFF2-40B4-BE49-F238E27FC236}">
              <a16:creationId xmlns:a16="http://schemas.microsoft.com/office/drawing/2014/main" id="{EFC97509-69C0-FE95-1924-B7AB136F50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93489" y="162145"/>
          <a:ext cx="1972070" cy="672465"/>
        </a:xfrm>
        <a:prstGeom prst="rect">
          <a:avLst/>
        </a:prstGeom>
      </xdr:spPr>
    </xdr:pic>
    <xdr:clientData/>
  </xdr:twoCellAnchor>
  <xdr:twoCellAnchor editAs="oneCell">
    <xdr:from>
      <xdr:col>6</xdr:col>
      <xdr:colOff>935687</xdr:colOff>
      <xdr:row>12</xdr:row>
      <xdr:rowOff>354806</xdr:rowOff>
    </xdr:from>
    <xdr:to>
      <xdr:col>11</xdr:col>
      <xdr:colOff>46758</xdr:colOff>
      <xdr:row>15</xdr:row>
      <xdr:rowOff>11906</xdr:rowOff>
    </xdr:to>
    <xdr:graphicFrame macro="">
      <xdr:nvGraphicFramePr>
        <xdr:cNvPr id="5" name="Progress chart" descr="Progress bar depicting purchasing progress">
          <a:extLst>
            <a:ext uri="{FF2B5EF4-FFF2-40B4-BE49-F238E27FC236}">
              <a16:creationId xmlns:a16="http://schemas.microsoft.com/office/drawing/2014/main" id="{C6FDBF44-3117-44D3-86FB-4212B72B1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219542</xdr:colOff>
      <xdr:row>15</xdr:row>
      <xdr:rowOff>107122</xdr:rowOff>
    </xdr:from>
    <xdr:to>
      <xdr:col>10</xdr:col>
      <xdr:colOff>579258</xdr:colOff>
      <xdr:row>22</xdr:row>
      <xdr:rowOff>159768</xdr:rowOff>
    </xdr:to>
    <xdr:graphicFrame macro="">
      <xdr:nvGraphicFramePr>
        <xdr:cNvPr id="11" name="图表 10">
          <a:extLst>
            <a:ext uri="{FF2B5EF4-FFF2-40B4-BE49-F238E27FC236}">
              <a16:creationId xmlns:a16="http://schemas.microsoft.com/office/drawing/2014/main" id="{D8602FE4-E55F-EAAD-F8DB-942A483D7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College Move Checklist">
      <a:dk1>
        <a:srgbClr val="000000"/>
      </a:dk1>
      <a:lt1>
        <a:srgbClr val="FFFFFF"/>
      </a:lt1>
      <a:dk2>
        <a:srgbClr val="3A0F0D"/>
      </a:dk2>
      <a:lt2>
        <a:srgbClr val="FCF7F3"/>
      </a:lt2>
      <a:accent1>
        <a:srgbClr val="E73D36"/>
      </a:accent1>
      <a:accent2>
        <a:srgbClr val="A7B73E"/>
      </a:accent2>
      <a:accent3>
        <a:srgbClr val="FA9E21"/>
      </a:accent3>
      <a:accent4>
        <a:srgbClr val="42ADBA"/>
      </a:accent4>
      <a:accent5>
        <a:srgbClr val="F7D93B"/>
      </a:accent5>
      <a:accent6>
        <a:srgbClr val="8C405E"/>
      </a:accent6>
      <a:hlink>
        <a:srgbClr val="42ADBA"/>
      </a:hlink>
      <a:folHlink>
        <a:srgbClr val="9E6B9C"/>
      </a:folHlink>
    </a:clrScheme>
    <a:fontScheme name="College Move Checklist">
      <a:majorFont>
        <a:latin typeface="Impact"/>
        <a:ea typeface=""/>
        <a:cs typeface=""/>
      </a:majorFont>
      <a:minorFont>
        <a:latin typeface="Corbe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2" tint="-0.249977111117893"/>
    <pageSetUpPr autoPageBreaks="0" fitToPage="1"/>
  </sheetPr>
  <dimension ref="B1:P40"/>
  <sheetViews>
    <sheetView showGridLines="0" zoomScaleNormal="100" zoomScaleSheetLayoutView="100" workbookViewId="0">
      <selection activeCell="B30" sqref="B30"/>
    </sheetView>
  </sheetViews>
  <sheetFormatPr defaultRowHeight="30" customHeight="1" x14ac:dyDescent="0.25"/>
  <cols>
    <col min="1" max="1" width="11.625" customWidth="1"/>
    <col min="2" max="2" width="5.25" style="18" customWidth="1"/>
    <col min="3" max="3" width="15.625" customWidth="1"/>
    <col min="4" max="6" width="12.625" customWidth="1"/>
    <col min="7" max="7" width="13.875" customWidth="1"/>
    <col min="8" max="8" width="15.625" customWidth="1"/>
    <col min="9" max="11" width="12.625" customWidth="1"/>
    <col min="12" max="12" width="6.5" customWidth="1"/>
    <col min="13" max="13" width="5.5" customWidth="1"/>
  </cols>
  <sheetData>
    <row r="1" spans="2:16" ht="73.5" customHeight="1" x14ac:dyDescent="0.25">
      <c r="B1" s="23"/>
      <c r="C1" s="24" t="s">
        <v>0</v>
      </c>
      <c r="D1" s="24"/>
      <c r="E1" s="24"/>
      <c r="F1" s="27" t="s">
        <v>77</v>
      </c>
      <c r="G1" s="27"/>
      <c r="H1" s="25"/>
      <c r="I1" s="25"/>
      <c r="J1" s="25"/>
      <c r="K1" s="26"/>
      <c r="L1" s="26"/>
    </row>
    <row r="2" spans="2:16" ht="27.6" customHeight="1" x14ac:dyDescent="0.25">
      <c r="B2" s="14"/>
      <c r="C2" s="12"/>
      <c r="D2" s="2"/>
      <c r="E2" s="2"/>
      <c r="F2" s="2"/>
      <c r="G2" s="2"/>
      <c r="H2" s="2"/>
      <c r="I2" s="2"/>
      <c r="J2" s="2"/>
      <c r="K2" s="2"/>
      <c r="L2" s="2"/>
    </row>
    <row r="3" spans="2:16" ht="30" customHeight="1" x14ac:dyDescent="0.25">
      <c r="B3" s="14"/>
      <c r="C3" s="3" t="s">
        <v>1</v>
      </c>
      <c r="D3" s="5"/>
      <c r="E3" s="3"/>
      <c r="F3" s="3"/>
      <c r="G3" s="4"/>
      <c r="H3" s="5" t="s">
        <v>2</v>
      </c>
      <c r="I3" s="5"/>
      <c r="J3" s="5"/>
      <c r="K3" s="5"/>
      <c r="L3" s="4"/>
    </row>
    <row r="4" spans="2:16" ht="39.950000000000003" customHeight="1" x14ac:dyDescent="0.25">
      <c r="B4" s="14"/>
      <c r="C4" s="59" t="s">
        <v>3</v>
      </c>
      <c r="D4" s="60"/>
      <c r="E4" s="77" t="s">
        <v>135</v>
      </c>
      <c r="F4" s="77"/>
      <c r="G4" s="21"/>
      <c r="H4" s="64" t="s">
        <v>21</v>
      </c>
      <c r="I4" s="64"/>
      <c r="J4" s="81" t="s">
        <v>12</v>
      </c>
      <c r="K4" s="81"/>
      <c r="L4" s="8"/>
    </row>
    <row r="5" spans="2:16" ht="39.950000000000003" customHeight="1" x14ac:dyDescent="0.25">
      <c r="B5" s="14"/>
      <c r="C5" s="61" t="s">
        <v>112</v>
      </c>
      <c r="D5" s="62"/>
      <c r="E5" s="78" t="s">
        <v>136</v>
      </c>
      <c r="F5" s="78"/>
      <c r="G5" s="21"/>
      <c r="H5" s="61" t="s">
        <v>13</v>
      </c>
      <c r="I5" s="61"/>
      <c r="J5" s="74" t="s">
        <v>22</v>
      </c>
      <c r="K5" s="74"/>
      <c r="L5" s="8"/>
    </row>
    <row r="6" spans="2:16" ht="39.950000000000003" customHeight="1" x14ac:dyDescent="0.25">
      <c r="B6" s="14"/>
      <c r="C6" s="61" t="s">
        <v>4</v>
      </c>
      <c r="D6" s="61"/>
      <c r="E6" s="74" t="s">
        <v>6</v>
      </c>
      <c r="F6" s="74"/>
      <c r="G6" s="21"/>
      <c r="H6" s="61" t="s">
        <v>14</v>
      </c>
      <c r="I6" s="61"/>
      <c r="J6" s="74" t="s">
        <v>15</v>
      </c>
      <c r="K6" s="74"/>
      <c r="L6" s="8"/>
    </row>
    <row r="7" spans="2:16" ht="39.950000000000003" customHeight="1" x14ac:dyDescent="0.25">
      <c r="B7" s="14"/>
      <c r="C7" s="61" t="s">
        <v>5</v>
      </c>
      <c r="D7" s="63"/>
      <c r="E7" s="74" t="s">
        <v>7</v>
      </c>
      <c r="F7" s="74"/>
      <c r="G7" s="21"/>
      <c r="H7" s="61" t="s">
        <v>202</v>
      </c>
      <c r="I7" s="61"/>
      <c r="J7" s="74" t="s">
        <v>23</v>
      </c>
      <c r="K7" s="74"/>
      <c r="L7" s="8"/>
      <c r="P7" s="1">
        <f>IFERROR(COUNTIFS(HealthReport!$H$27:$H$39,"&gt;0",HealthReport!$L$27:$L$39,"&gt;0")/SumItemsToBuy,0)</f>
        <v>0</v>
      </c>
    </row>
    <row r="8" spans="2:16" ht="39.950000000000003" customHeight="1" x14ac:dyDescent="0.25">
      <c r="B8" s="14"/>
      <c r="C8" s="61" t="s">
        <v>8</v>
      </c>
      <c r="D8" s="61"/>
      <c r="E8" s="79">
        <v>32</v>
      </c>
      <c r="F8" s="74"/>
      <c r="G8" s="22"/>
      <c r="H8" s="61" t="s">
        <v>197</v>
      </c>
      <c r="I8" s="61"/>
      <c r="J8" s="74" t="s">
        <v>17</v>
      </c>
      <c r="K8" s="74"/>
      <c r="L8" s="8"/>
    </row>
    <row r="9" spans="2:16" ht="39.950000000000003" customHeight="1" x14ac:dyDescent="0.25">
      <c r="B9" s="14"/>
      <c r="C9" s="61" t="s">
        <v>9</v>
      </c>
      <c r="D9" s="61"/>
      <c r="E9" s="79">
        <v>2800</v>
      </c>
      <c r="F9" s="74"/>
      <c r="G9" s="22"/>
      <c r="H9" s="61" t="s">
        <v>19</v>
      </c>
      <c r="I9" s="61"/>
      <c r="J9" s="74" t="s">
        <v>20</v>
      </c>
      <c r="K9" s="74"/>
      <c r="L9" s="8"/>
    </row>
    <row r="10" spans="2:16" ht="39.950000000000003" customHeight="1" x14ac:dyDescent="0.25">
      <c r="B10" s="14"/>
      <c r="C10" s="61" t="s">
        <v>10</v>
      </c>
      <c r="D10" s="61"/>
      <c r="E10" s="74" t="s">
        <v>11</v>
      </c>
      <c r="F10" s="74"/>
      <c r="G10" s="22"/>
      <c r="H10" s="61" t="s">
        <v>199</v>
      </c>
      <c r="I10" s="61"/>
      <c r="J10" s="74" t="s">
        <v>18</v>
      </c>
      <c r="K10" s="74"/>
      <c r="L10" s="8"/>
    </row>
    <row r="11" spans="2:16" ht="39.950000000000003" customHeight="1" thickBot="1" x14ac:dyDescent="0.3">
      <c r="B11" s="14"/>
      <c r="C11" s="19"/>
      <c r="D11" s="19"/>
      <c r="E11" s="80"/>
      <c r="F11" s="80"/>
      <c r="G11" s="22"/>
      <c r="H11" s="19"/>
      <c r="I11" s="19"/>
      <c r="J11" s="75"/>
      <c r="K11" s="75"/>
      <c r="L11" s="8"/>
    </row>
    <row r="12" spans="2:16" ht="30" customHeight="1" thickTop="1" x14ac:dyDescent="0.25">
      <c r="B12" s="15"/>
      <c r="C12" s="9"/>
      <c r="D12" s="10"/>
      <c r="E12" s="10"/>
      <c r="F12" s="10"/>
      <c r="G12" s="8"/>
      <c r="H12" s="9"/>
      <c r="I12" s="9"/>
      <c r="J12" s="10"/>
      <c r="K12" s="10"/>
      <c r="L12" s="8"/>
    </row>
    <row r="13" spans="2:16" ht="30" customHeight="1" x14ac:dyDescent="0.25">
      <c r="B13" s="15"/>
      <c r="C13" s="5" t="s">
        <v>24</v>
      </c>
      <c r="D13" s="5"/>
      <c r="E13" s="3"/>
      <c r="F13" s="3"/>
      <c r="G13" s="8"/>
      <c r="H13" s="5" t="str">
        <f>"Health status ("&amp;COUNTIFS(HealthReport!$L$27:$L$39, "&gt;0")&amp;" of "&amp;COUNTIFS(HealthReport!$H$27:$H$39, "&gt;0")&amp;")"</f>
        <v>Health status (0 of 0)</v>
      </c>
      <c r="I13" s="8"/>
      <c r="J13" s="8"/>
      <c r="K13" s="8"/>
      <c r="L13" s="8"/>
    </row>
    <row r="14" spans="2:16" ht="30" customHeight="1" x14ac:dyDescent="0.25">
      <c r="B14" s="15"/>
      <c r="C14" s="8"/>
      <c r="D14" s="20" t="s">
        <v>31</v>
      </c>
      <c r="E14" s="20" t="s">
        <v>58</v>
      </c>
      <c r="F14" s="20" t="s">
        <v>32</v>
      </c>
      <c r="G14" s="8"/>
      <c r="H14" s="8"/>
      <c r="I14" s="8"/>
      <c r="J14" s="8"/>
      <c r="K14" s="8"/>
      <c r="L14" s="8"/>
    </row>
    <row r="15" spans="2:16" ht="30" customHeight="1" x14ac:dyDescent="0.25">
      <c r="B15" s="15"/>
      <c r="C15" s="19" t="s">
        <v>33</v>
      </c>
      <c r="D15" s="6">
        <v>3</v>
      </c>
      <c r="E15" s="6">
        <v>5</v>
      </c>
      <c r="F15" s="6">
        <v>1</v>
      </c>
      <c r="G15" s="8"/>
      <c r="H15" s="8"/>
      <c r="I15" s="8"/>
      <c r="J15" s="8"/>
      <c r="K15" s="8"/>
      <c r="L15" s="8"/>
    </row>
    <row r="16" spans="2:16" ht="30" customHeight="1" x14ac:dyDescent="0.25">
      <c r="B16" s="15"/>
      <c r="C16" s="19" t="s">
        <v>26</v>
      </c>
      <c r="D16" s="6">
        <v>5</v>
      </c>
      <c r="E16" s="6">
        <v>5</v>
      </c>
      <c r="F16" s="6">
        <v>5</v>
      </c>
      <c r="G16" s="8"/>
      <c r="H16" s="8"/>
      <c r="I16" s="8"/>
      <c r="J16" s="8"/>
      <c r="K16" s="8"/>
      <c r="L16" s="8"/>
    </row>
    <row r="17" spans="2:12" ht="30" customHeight="1" x14ac:dyDescent="0.25">
      <c r="B17" s="15"/>
      <c r="C17" s="19" t="s">
        <v>25</v>
      </c>
      <c r="D17" s="6">
        <v>1</v>
      </c>
      <c r="E17" s="6">
        <v>0</v>
      </c>
      <c r="F17" s="6">
        <v>0</v>
      </c>
      <c r="G17" s="8"/>
      <c r="H17" s="8"/>
      <c r="I17" s="5"/>
      <c r="J17" s="8"/>
      <c r="K17" s="8"/>
      <c r="L17" s="8"/>
    </row>
    <row r="18" spans="2:12" ht="30" customHeight="1" x14ac:dyDescent="0.25">
      <c r="B18" s="15"/>
      <c r="C18" s="19" t="s">
        <v>44</v>
      </c>
      <c r="D18" s="6">
        <v>0</v>
      </c>
      <c r="E18" s="6">
        <v>0</v>
      </c>
      <c r="F18" s="6">
        <v>0</v>
      </c>
      <c r="G18" s="8"/>
      <c r="H18" s="8"/>
      <c r="I18" s="8"/>
      <c r="J18" s="8"/>
      <c r="K18" s="8"/>
      <c r="L18" s="8"/>
    </row>
    <row r="19" spans="2:12" ht="30" customHeight="1" x14ac:dyDescent="0.25">
      <c r="B19" s="15"/>
      <c r="C19" s="19" t="s">
        <v>27</v>
      </c>
      <c r="D19" s="6">
        <v>0</v>
      </c>
      <c r="E19" s="6">
        <v>0</v>
      </c>
      <c r="F19" s="6">
        <v>0</v>
      </c>
      <c r="G19" s="8"/>
      <c r="H19" s="8"/>
      <c r="I19" s="8"/>
      <c r="J19" s="8"/>
      <c r="K19" s="8"/>
      <c r="L19" s="8"/>
    </row>
    <row r="20" spans="2:12" ht="30" customHeight="1" x14ac:dyDescent="0.25">
      <c r="B20" s="15"/>
      <c r="C20" s="19" t="s">
        <v>28</v>
      </c>
      <c r="D20" s="6">
        <v>0</v>
      </c>
      <c r="E20" s="6">
        <v>0</v>
      </c>
      <c r="F20" s="6">
        <v>0</v>
      </c>
      <c r="G20" s="4"/>
      <c r="H20" s="8"/>
      <c r="I20" s="8"/>
      <c r="J20" s="8"/>
      <c r="K20" s="8"/>
      <c r="L20" s="8"/>
    </row>
    <row r="21" spans="2:12" ht="30" customHeight="1" x14ac:dyDescent="0.25">
      <c r="B21" s="15"/>
      <c r="C21" s="19" t="s">
        <v>29</v>
      </c>
      <c r="D21" s="6">
        <v>0</v>
      </c>
      <c r="E21" s="6">
        <v>0</v>
      </c>
      <c r="F21" s="6">
        <v>0</v>
      </c>
      <c r="G21" s="4"/>
      <c r="H21" s="8"/>
      <c r="I21" s="8"/>
      <c r="J21" s="8"/>
      <c r="K21" s="8"/>
      <c r="L21" s="8"/>
    </row>
    <row r="22" spans="2:12" ht="30" customHeight="1" x14ac:dyDescent="0.25">
      <c r="B22" s="15"/>
      <c r="C22" s="19" t="s">
        <v>30</v>
      </c>
      <c r="D22" s="6">
        <v>0</v>
      </c>
      <c r="E22" s="6">
        <v>0</v>
      </c>
      <c r="F22" s="6">
        <v>0</v>
      </c>
      <c r="G22" s="4"/>
      <c r="H22" s="8"/>
      <c r="I22" s="8"/>
      <c r="J22" s="8"/>
      <c r="K22" s="8"/>
      <c r="L22" s="8"/>
    </row>
    <row r="23" spans="2:12" ht="30" customHeight="1" thickBot="1" x14ac:dyDescent="0.3">
      <c r="B23" s="15"/>
      <c r="C23" s="13"/>
      <c r="D23" s="7"/>
      <c r="E23" s="7"/>
      <c r="F23" s="7"/>
      <c r="G23" s="4"/>
      <c r="H23" s="8"/>
      <c r="I23" s="8"/>
      <c r="J23" s="8"/>
      <c r="K23" s="8"/>
      <c r="L23" s="8"/>
    </row>
    <row r="24" spans="2:12" ht="30" customHeight="1" thickTop="1" x14ac:dyDescent="0.25">
      <c r="B24" s="15"/>
      <c r="C24" s="9"/>
      <c r="D24" s="10"/>
      <c r="E24" s="10"/>
      <c r="F24" s="10"/>
      <c r="G24" s="4"/>
      <c r="H24" s="8"/>
      <c r="I24" s="8"/>
      <c r="J24" s="8"/>
      <c r="K24" s="8"/>
      <c r="L24" s="8"/>
    </row>
    <row r="25" spans="2:12" ht="35.1" customHeight="1" x14ac:dyDescent="0.25">
      <c r="B25" s="16"/>
      <c r="C25" s="5" t="s">
        <v>34</v>
      </c>
      <c r="D25" s="11"/>
      <c r="E25" s="11"/>
      <c r="F25" s="11"/>
      <c r="G25" s="11"/>
      <c r="H25" s="11"/>
      <c r="I25" s="11"/>
      <c r="J25" s="11"/>
      <c r="K25" s="11"/>
      <c r="L25" s="11"/>
    </row>
    <row r="26" spans="2:12" ht="24.95" customHeight="1" thickBot="1" x14ac:dyDescent="0.3">
      <c r="B26" s="29" t="s">
        <v>35</v>
      </c>
      <c r="C26" s="28" t="s">
        <v>37</v>
      </c>
      <c r="D26" s="28" t="s">
        <v>43</v>
      </c>
      <c r="E26" s="28"/>
      <c r="F26" s="28" t="s">
        <v>45</v>
      </c>
      <c r="G26" s="28" t="s">
        <v>54</v>
      </c>
      <c r="H26" s="30" t="s">
        <v>36</v>
      </c>
      <c r="I26" s="29"/>
      <c r="J26" s="29"/>
      <c r="K26" s="31"/>
      <c r="L26" s="58">
        <f>SUM(HealthReport!$F$27:$F$39)/130</f>
        <v>0.52307692307692311</v>
      </c>
    </row>
    <row r="27" spans="2:12" ht="30" customHeight="1" thickTop="1" x14ac:dyDescent="0.25">
      <c r="B27" s="38">
        <v>1</v>
      </c>
      <c r="C27" s="39" t="s">
        <v>33</v>
      </c>
      <c r="D27" s="40" t="s">
        <v>55</v>
      </c>
      <c r="E27" s="41"/>
      <c r="F27" s="42">
        <v>10</v>
      </c>
      <c r="G27" s="43" t="str" cm="1">
        <f t="array" ref="G27">_xlfn.IFS(HealthReport!$F27&gt;=10,"PASS",HealthReport!$F27=8,"轻微",HealthReport!$F27=5,"普通",HealthReport!$F27=0,"重要")</f>
        <v>PASS</v>
      </c>
      <c r="H27" s="41"/>
      <c r="I27" s="41"/>
      <c r="J27" s="41"/>
      <c r="K27" s="44"/>
      <c r="L27" s="44"/>
    </row>
    <row r="28" spans="2:12" ht="30" customHeight="1" x14ac:dyDescent="0.25">
      <c r="B28" s="45">
        <v>2</v>
      </c>
      <c r="C28" s="46" t="s">
        <v>38</v>
      </c>
      <c r="D28" s="47" t="s">
        <v>46</v>
      </c>
      <c r="E28" s="46"/>
      <c r="F28" s="48">
        <v>10</v>
      </c>
      <c r="G28" s="49" t="str" cm="1">
        <f t="array" ref="G28">_xlfn.IFS(HealthReport!$F28&gt;=10,"PASS",HealthReport!$F28=8,"轻微",HealthReport!$F28=5,"普通",HealthReport!$F28=0,"重要")</f>
        <v>PASS</v>
      </c>
      <c r="H28" s="46"/>
      <c r="I28" s="46"/>
      <c r="J28" s="46"/>
      <c r="K28" s="50"/>
      <c r="L28" s="50"/>
    </row>
    <row r="29" spans="2:12" ht="30" customHeight="1" x14ac:dyDescent="0.25">
      <c r="B29" s="38">
        <v>3</v>
      </c>
      <c r="C29" s="41" t="s">
        <v>38</v>
      </c>
      <c r="D29" s="51" t="s">
        <v>56</v>
      </c>
      <c r="E29" s="41"/>
      <c r="F29" s="42">
        <v>10</v>
      </c>
      <c r="G29" s="43" t="str" cm="1">
        <f t="array" ref="G29">_xlfn.IFS(HealthReport!$F29&gt;=10,"PASS",HealthReport!$F29=8,"轻微",HealthReport!$F29=5,"普通",HealthReport!$F29=0,"重要")</f>
        <v>PASS</v>
      </c>
      <c r="H29" s="41"/>
      <c r="I29" s="41"/>
      <c r="J29" s="41"/>
      <c r="K29" s="44"/>
      <c r="L29" s="44"/>
    </row>
    <row r="30" spans="2:12" ht="30" customHeight="1" x14ac:dyDescent="0.25">
      <c r="B30" s="45">
        <v>4</v>
      </c>
      <c r="C30" s="46" t="s">
        <v>38</v>
      </c>
      <c r="D30" s="47" t="s">
        <v>47</v>
      </c>
      <c r="E30" s="46"/>
      <c r="F30" s="48">
        <v>5</v>
      </c>
      <c r="G30" s="49" t="str" cm="1">
        <f t="array" ref="G30">_xlfn.IFS(HealthReport!$F30&gt;=10,"PASS",HealthReport!$F30=8,"轻微",HealthReport!$F30=5,"普通",HealthReport!$F30=0,"重要")</f>
        <v>普通</v>
      </c>
      <c r="H30" s="76" t="s">
        <v>78</v>
      </c>
      <c r="I30" s="76"/>
      <c r="J30" s="76"/>
      <c r="K30" s="76"/>
      <c r="L30" s="50" t="str">
        <f>HYPERLINK("#OS!B5","Detail")</f>
        <v>Detail</v>
      </c>
    </row>
    <row r="31" spans="2:12" ht="30" customHeight="1" x14ac:dyDescent="0.25">
      <c r="B31" s="38">
        <v>5</v>
      </c>
      <c r="C31" s="41" t="s">
        <v>38</v>
      </c>
      <c r="D31" s="51" t="s">
        <v>48</v>
      </c>
      <c r="E31" s="41"/>
      <c r="F31" s="42">
        <v>10</v>
      </c>
      <c r="G31" s="43" t="str" cm="1">
        <f t="array" ref="G31">_xlfn.IFS(HealthReport!$F31&gt;=10,"PASS",HealthReport!$F31=8,"轻微",HealthReport!$F31=5,"普通",HealthReport!$F31=0,"重要")</f>
        <v>PASS</v>
      </c>
      <c r="H31" s="41"/>
      <c r="I31" s="41"/>
      <c r="J31" s="41"/>
      <c r="K31" s="52"/>
      <c r="L31" s="44" t="str">
        <f t="shared" ref="L31:L39" si="0">HYPERLINK("#OS!A1","Detail")</f>
        <v>Detail</v>
      </c>
    </row>
    <row r="32" spans="2:12" ht="30" customHeight="1" x14ac:dyDescent="0.25">
      <c r="B32" s="45">
        <v>6</v>
      </c>
      <c r="C32" s="46" t="s">
        <v>38</v>
      </c>
      <c r="D32" s="47" t="s">
        <v>49</v>
      </c>
      <c r="E32" s="46"/>
      <c r="F32" s="48">
        <v>10</v>
      </c>
      <c r="G32" s="49" t="str" cm="1">
        <f t="array" ref="G32">_xlfn.IFS(HealthReport!$F32&gt;=10,"PASS",HealthReport!$F32=8,"轻微",HealthReport!$F32=5,"普通",HealthReport!$F32=0,"重要")</f>
        <v>PASS</v>
      </c>
      <c r="H32" s="46"/>
      <c r="I32" s="46"/>
      <c r="J32" s="46"/>
      <c r="K32" s="50"/>
      <c r="L32" s="50" t="str">
        <f t="shared" si="0"/>
        <v>Detail</v>
      </c>
    </row>
    <row r="33" spans="2:12" ht="30" customHeight="1" x14ac:dyDescent="0.25">
      <c r="B33" s="38">
        <v>7</v>
      </c>
      <c r="C33" s="41" t="s">
        <v>39</v>
      </c>
      <c r="D33" s="51" t="s">
        <v>50</v>
      </c>
      <c r="E33" s="41"/>
      <c r="F33" s="42">
        <v>8</v>
      </c>
      <c r="G33" s="43" t="str" cm="1">
        <f t="array" ref="G33">_xlfn.IFS(HealthReport!$F33&gt;=10,"PASS",HealthReport!$F33=8,"轻微",HealthReport!$F33=5,"普通",HealthReport!$F33=0,"重要")</f>
        <v>轻微</v>
      </c>
      <c r="H33" s="41"/>
      <c r="I33" s="41"/>
      <c r="J33" s="41"/>
      <c r="K33" s="44"/>
      <c r="L33" s="44" t="str">
        <f t="shared" si="0"/>
        <v>Detail</v>
      </c>
    </row>
    <row r="34" spans="2:12" ht="30" customHeight="1" x14ac:dyDescent="0.25">
      <c r="B34" s="45">
        <v>8</v>
      </c>
      <c r="C34" s="46" t="s">
        <v>39</v>
      </c>
      <c r="D34" s="47" t="s">
        <v>51</v>
      </c>
      <c r="E34" s="46"/>
      <c r="F34" s="48">
        <v>5</v>
      </c>
      <c r="G34" s="49" t="str" cm="1">
        <f t="array" ref="G34">_xlfn.IFS(HealthReport!$F34&gt;=10,"PASS",HealthReport!$F34=8,"轻微",HealthReport!$F34=5,"普通",HealthReport!$F34=0,"重要")</f>
        <v>普通</v>
      </c>
      <c r="H34" s="46"/>
      <c r="I34" s="46"/>
      <c r="J34" s="46"/>
      <c r="K34" s="50"/>
      <c r="L34" s="50" t="str">
        <f t="shared" si="0"/>
        <v>Detail</v>
      </c>
    </row>
    <row r="35" spans="2:12" ht="30" customHeight="1" x14ac:dyDescent="0.25">
      <c r="B35" s="38">
        <v>9</v>
      </c>
      <c r="C35" s="41" t="s">
        <v>39</v>
      </c>
      <c r="D35" s="51" t="s">
        <v>57</v>
      </c>
      <c r="E35" s="41"/>
      <c r="F35" s="42">
        <v>0</v>
      </c>
      <c r="G35" s="43" t="str" cm="1">
        <f t="array" ref="G35">_xlfn.IFS(HealthReport!$F35&gt;=10,"PASS",HealthReport!$F35=8,"轻微",HealthReport!$F35=5,"普通",HealthReport!$F35=0,"重要")</f>
        <v>重要</v>
      </c>
      <c r="H35" s="41"/>
      <c r="I35" s="41"/>
      <c r="J35" s="41"/>
      <c r="K35" s="44"/>
      <c r="L35" s="44" t="str">
        <f t="shared" si="0"/>
        <v>Detail</v>
      </c>
    </row>
    <row r="36" spans="2:12" ht="30" customHeight="1" x14ac:dyDescent="0.25">
      <c r="B36" s="45">
        <v>10</v>
      </c>
      <c r="C36" s="46" t="s">
        <v>39</v>
      </c>
      <c r="D36" s="47" t="s">
        <v>52</v>
      </c>
      <c r="E36" s="46"/>
      <c r="F36" s="48">
        <v>0</v>
      </c>
      <c r="G36" s="49" t="str" cm="1">
        <f t="array" ref="G36">_xlfn.IFS(HealthReport!$F36&gt;=10,"PASS",HealthReport!$F36=8,"轻微",HealthReport!$F36=5,"普通",HealthReport!$F36=0,"重要")</f>
        <v>重要</v>
      </c>
      <c r="H36" s="46"/>
      <c r="I36" s="46"/>
      <c r="J36" s="46"/>
      <c r="K36" s="50"/>
      <c r="L36" s="50" t="str">
        <f t="shared" si="0"/>
        <v>Detail</v>
      </c>
    </row>
    <row r="37" spans="2:12" ht="30" customHeight="1" x14ac:dyDescent="0.25">
      <c r="B37" s="38">
        <v>11</v>
      </c>
      <c r="C37" s="41" t="s">
        <v>42</v>
      </c>
      <c r="D37" s="41" t="s">
        <v>53</v>
      </c>
      <c r="E37" s="41"/>
      <c r="F37" s="42">
        <v>0</v>
      </c>
      <c r="G37" s="43" t="str" cm="1">
        <f t="array" ref="G37">_xlfn.IFS(HealthReport!$F37&gt;=10,"PASS",HealthReport!$F37=8,"轻微",HealthReport!$F37=5,"普通",HealthReport!$F37=0,"重要")</f>
        <v>重要</v>
      </c>
      <c r="H37" s="41"/>
      <c r="I37" s="41"/>
      <c r="J37" s="41"/>
      <c r="K37" s="44"/>
      <c r="L37" s="44" t="str">
        <f t="shared" si="0"/>
        <v>Detail</v>
      </c>
    </row>
    <row r="38" spans="2:12" ht="30" customHeight="1" x14ac:dyDescent="0.25">
      <c r="B38" s="45">
        <v>12</v>
      </c>
      <c r="C38" s="46" t="s">
        <v>41</v>
      </c>
      <c r="D38" s="46"/>
      <c r="E38" s="46"/>
      <c r="F38" s="48">
        <v>0</v>
      </c>
      <c r="G38" s="49" t="str" cm="1">
        <f t="array" ref="G38">_xlfn.IFS(HealthReport!$F38&gt;=10,"PASS",HealthReport!$F38=8,"轻微",HealthReport!$F38=5,"普通",HealthReport!$F38=0,"重要")</f>
        <v>重要</v>
      </c>
      <c r="H38" s="46"/>
      <c r="I38" s="46"/>
      <c r="J38" s="46"/>
      <c r="K38" s="50"/>
      <c r="L38" s="50" t="str">
        <f t="shared" si="0"/>
        <v>Detail</v>
      </c>
    </row>
    <row r="39" spans="2:12" ht="30" customHeight="1" x14ac:dyDescent="0.25">
      <c r="B39" s="17">
        <v>13</v>
      </c>
      <c r="C39" s="53" t="s">
        <v>40</v>
      </c>
      <c r="D39" s="53"/>
      <c r="E39" s="53"/>
      <c r="F39" s="54">
        <v>0</v>
      </c>
      <c r="G39" s="55" t="str" cm="1">
        <f t="array" ref="G39">_xlfn.IFS(HealthReport!$F39&gt;=10,"PASS",HealthReport!$F39=8,"轻微",HealthReport!$F39=5,"普通",HealthReport!$F39=0,"重要")</f>
        <v>重要</v>
      </c>
      <c r="H39" s="53"/>
      <c r="I39" s="53"/>
      <c r="J39" s="53"/>
      <c r="K39" s="56"/>
      <c r="L39" s="56" t="str">
        <f t="shared" si="0"/>
        <v>Detail</v>
      </c>
    </row>
    <row r="40" spans="2:12" ht="30" customHeight="1" x14ac:dyDescent="0.25">
      <c r="G40" s="18"/>
    </row>
  </sheetData>
  <dataConsolidate/>
  <mergeCells count="17">
    <mergeCell ref="J9:K9"/>
    <mergeCell ref="J10:K10"/>
    <mergeCell ref="J11:K11"/>
    <mergeCell ref="H30:K30"/>
    <mergeCell ref="E4:F4"/>
    <mergeCell ref="E5:F5"/>
    <mergeCell ref="E6:F6"/>
    <mergeCell ref="E7:F7"/>
    <mergeCell ref="E8:F8"/>
    <mergeCell ref="E9:F9"/>
    <mergeCell ref="E10:F10"/>
    <mergeCell ref="E11:F11"/>
    <mergeCell ref="J4:K4"/>
    <mergeCell ref="J5:K5"/>
    <mergeCell ref="J6:K6"/>
    <mergeCell ref="J7:K7"/>
    <mergeCell ref="J8:K8"/>
  </mergeCells>
  <phoneticPr fontId="14" type="noConversion"/>
  <conditionalFormatting sqref="B13:B24">
    <cfRule type="notContainsBlanks" dxfId="7" priority="3">
      <formula>LEN(TRIM(B13))&gt;0</formula>
    </cfRule>
  </conditionalFormatting>
  <conditionalFormatting sqref="B14:C14">
    <cfRule type="notContainsBlanks" dxfId="6" priority="4">
      <formula>LEN(TRIM(B14))&gt;0</formula>
    </cfRule>
  </conditionalFormatting>
  <conditionalFormatting sqref="B12:L12 J13:L17 H17 H18:L24">
    <cfRule type="notContainsBlanks" dxfId="5" priority="17">
      <formula>LEN(TRIM(B12))&gt;0</formula>
    </cfRule>
  </conditionalFormatting>
  <conditionalFormatting sqref="G8:G11 G13:G19">
    <cfRule type="notContainsBlanks" dxfId="4" priority="18">
      <formula>LEN(TRIM(G8))&gt;0</formula>
    </cfRule>
  </conditionalFormatting>
  <conditionalFormatting sqref="H14:H15">
    <cfRule type="notContainsBlanks" dxfId="3" priority="10">
      <formula>LEN(TRIM(H14))&gt;0</formula>
    </cfRule>
  </conditionalFormatting>
  <conditionalFormatting sqref="H16:I16">
    <cfRule type="notContainsBlanks" dxfId="2" priority="16">
      <formula>LEN(TRIM(H16))&gt;0</formula>
    </cfRule>
  </conditionalFormatting>
  <conditionalFormatting sqref="I13:I15">
    <cfRule type="notContainsBlanks" dxfId="1" priority="7">
      <formula>LEN(TRIM(I13))&gt;0</formula>
    </cfRule>
  </conditionalFormatting>
  <conditionalFormatting sqref="L4:L11 P7">
    <cfRule type="notContainsBlanks" dxfId="0" priority="19">
      <formula>LEN(TRIM(L4))&gt;0</formula>
    </cfRule>
  </conditionalFormatting>
  <dataValidations xWindow="226" yWindow="621" count="13">
    <dataValidation allowBlank="1" showInputMessage="1" showErrorMessage="1" prompt="Title of this worksheet is in cells B1 through C1. Enter School Supplies in table starting in cell B8. Enter budget in cell C5" sqref="C1" xr:uid="{00000000-0002-0000-0000-000000000000}"/>
    <dataValidation allowBlank="1" showInputMessage="1" showErrorMessage="1" prompt="Enter Budget in cell C5. Shopping List Total in cell C6 and Remaining Cash in cell C7 are automatically calculated based on entries in Checklist table" sqref="H3:K3 E12:F14 C13:D14 C3:F3" xr:uid="{00000000-0002-0000-0000-000001000000}"/>
    <dataValidation allowBlank="1" showInputMessage="1" showErrorMessage="1" prompt="Enter Budget in cell at right" sqref="C4 C7 H4:I4 H7:I7 C15 C18" xr:uid="{00000000-0002-0000-0000-000002000000}"/>
    <dataValidation allowBlank="1" showInputMessage="1" showErrorMessage="1" prompt="Shopping List Total is automatically calculated in cell at right" sqref="C5 C8 H5:I5 H8:I8 C16 C19" xr:uid="{00000000-0002-0000-0000-000003000000}"/>
    <dataValidation allowBlank="1" showInputMessage="1" showErrorMessage="1" prompt="Shopping List Total is automatically calculated in this cell" sqref="J5 D16:F16 D19:F19 D5:E5 D8:E8 J8" xr:uid="{00000000-0002-0000-0000-000004000000}"/>
    <dataValidation allowBlank="1" showInputMessage="1" showErrorMessage="1" prompt="Enter Budget in this cell" sqref="J4 D15:F15 D18:F18 D4:E4 D7:E7 J7" xr:uid="{00000000-0002-0000-0000-000005000000}"/>
    <dataValidation allowBlank="1" showInputMessage="1" showErrorMessage="1" prompt="Remaining Cash is automatically calculated in cell at right" sqref="C6 C9:C12 H6:I6 C17 H10:I12 C20:C24" xr:uid="{00000000-0002-0000-0000-000006000000}"/>
    <dataValidation allowBlank="1" showInputMessage="1" showErrorMessage="1" prompt="Remaining Cash is automatically calculated in this cell" sqref="F12 D17:F17 J6 D20:F24 D6:E6 D9:E12 J10:J11 J12:K12" xr:uid="{00000000-0002-0000-0000-000007000000}"/>
    <dataValidation allowBlank="1" showInputMessage="1" showErrorMessage="1" prompt="Purchasing Progress bar is in cells E5 through H7" sqref="P7 H12:I12 G8:G19 C12:F12 L4:L11 H18:I24 H17 H13 H14:I14 H16:I16 H15 J12:L24" xr:uid="{00000000-0002-0000-0000-000009000000}"/>
    <dataValidation allowBlank="1" showInputMessage="1" showErrorMessage="1" prompt="Enter Shopping details in table below. Category list is automatically updated from Category table" sqref="C25" xr:uid="{00000000-0002-0000-0000-00000A000000}"/>
    <dataValidation allowBlank="1" showInputMessage="1" showErrorMessage="1" prompt="Purchasing Progress bar is in cells below" sqref="H13" xr:uid="{00000000-0002-0000-0000-000008000000}"/>
    <dataValidation type="list" allowBlank="1" showInputMessage="1" showErrorMessage="1" sqref="C27:C39" xr:uid="{9A7EB216-EA1D-4A3D-B9E3-20B91A83DBC8}">
      <formula1>$C$15:$C$22</formula1>
    </dataValidation>
    <dataValidation errorStyle="warning" allowBlank="1" showInputMessage="1" showErrorMessage="1" error="Select Category from the list. Enter new categories in Category worksheet. Select CANCEL, then press ALT+DOWN ARROW for options, then DOWN ARROW and ENTER to make selection" sqref="D27:E39" xr:uid="{00000000-0002-0000-0000-000013000000}"/>
  </dataValidations>
  <printOptions horizontalCentered="1"/>
  <pageMargins left="0.7" right="0.7" top="0.75" bottom="0.75" header="0.3" footer="0.3"/>
  <pageSetup scale="58" fitToHeight="0" orientation="portrait" r:id="rId1"/>
  <headerFooter differentFirst="1">
    <oddFoote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iconSet" priority="1" id="{D7E11CA3-AE2E-4AE0-8760-69AFD47E19CB}">
            <x14:iconSet iconSet="3Symbols" showValue="0" custom="1">
              <x14:cfvo type="percent">
                <xm:f>0</xm:f>
              </x14:cfvo>
              <x14:cfvo type="num">
                <xm:f>5</xm:f>
              </x14:cfvo>
              <x14:cfvo type="num">
                <xm:f>10</xm:f>
              </x14:cfvo>
              <x14:cfIcon iconSet="3Symbols" iconId="0"/>
              <x14:cfIcon iconSet="3Symbols" iconId="1"/>
              <x14:cfIcon iconSet="3Symbols2" iconId="2"/>
            </x14:iconSet>
          </x14:cfRule>
          <xm:sqref>F27:F39</xm:sqref>
        </x14:conditionalFormatting>
        <x14:conditionalFormatting xmlns:xm="http://schemas.microsoft.com/office/excel/2006/main">
          <x14:cfRule type="iconSet" priority="126" id="{904FC827-5D32-400A-97DB-D891D8D2E589}">
            <x14:iconSet iconSet="3Symbols" showValue="0" custom="1">
              <x14:cfvo type="percent">
                <xm:f>0</xm:f>
              </x14:cfvo>
              <x14:cfvo type="num" gte="0">
                <xm:f>0</xm:f>
              </x14:cfvo>
              <x14:cfvo type="num">
                <xm:f>1</xm:f>
              </x14:cfvo>
              <x14:cfIcon iconSet="NoIcons" iconId="0"/>
              <x14:cfIcon iconSet="NoIcons" iconId="0"/>
              <x14:cfIcon iconSet="3Symbols2" iconId="2"/>
            </x14:iconSet>
          </x14:cfRule>
          <xm:sqref>H27 J27 H28:J29 H33:J39 I31:J32 H30</xm:sqref>
        </x14:conditionalFormatting>
        <x14:conditionalFormatting xmlns:xm="http://schemas.microsoft.com/office/excel/2006/main">
          <x14:cfRule type="iconSet" priority="128" id="{91FC4C5D-AF8B-4E30-B194-1E2B2576DFF5}">
            <x14:iconSet iconSet="3Symbols" showValue="0" custom="1">
              <x14:cfvo type="percent">
                <xm:f>0</xm:f>
              </x14:cfvo>
              <x14:cfvo type="num" gte="0">
                <xm:f>0</xm:f>
              </x14:cfvo>
              <x14:cfvo type="num">
                <xm:f>1</xm:f>
              </x14:cfvo>
              <x14:cfIcon iconSet="NoIcons" iconId="0"/>
              <x14:cfIcon iconSet="NoIcons" iconId="0"/>
              <x14:cfIcon iconSet="3Symbols2" iconId="2"/>
            </x14:iconSet>
          </x14:cfRule>
          <xm:sqref>K28:K29 K31:K39</xm:sqref>
        </x14:conditionalFormatting>
        <x14:conditionalFormatting xmlns:xm="http://schemas.microsoft.com/office/excel/2006/main">
          <x14:cfRule type="iconSet" priority="127" id="{D6CA9112-E31E-493B-AC44-8CFD7A9AFAFB}">
            <x14:iconSet iconSet="3Symbols" showValue="0" custom="1">
              <x14:cfvo type="percent">
                <xm:f>0</xm:f>
              </x14:cfvo>
              <x14:cfvo type="num" gte="0">
                <xm:f>0</xm:f>
              </x14:cfvo>
              <x14:cfvo type="num">
                <xm:f>1</xm:f>
              </x14:cfvo>
              <x14:cfIcon iconSet="NoIcons" iconId="0"/>
              <x14:cfIcon iconSet="NoIcons" iconId="0"/>
              <x14:cfIcon iconSet="3Symbols2" iconId="2"/>
            </x14:iconSet>
          </x14:cfRule>
          <xm:sqref>L28:L39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AA4F4-B1FA-4569-9A5C-4430E8288027}">
  <dimension ref="A1:AB27"/>
  <sheetViews>
    <sheetView workbookViewId="0">
      <pane xSplit="1" ySplit="1" topLeftCell="B2" activePane="bottomRight" state="frozen"/>
      <selection pane="topRight" activeCell="B1" sqref="B1"/>
      <selection pane="bottomLeft" activeCell="A2" sqref="A2"/>
      <selection pane="bottomRight" activeCell="A23" sqref="A23"/>
    </sheetView>
  </sheetViews>
  <sheetFormatPr defaultRowHeight="15" x14ac:dyDescent="0.25"/>
  <cols>
    <col min="1" max="1" width="22" style="71" customWidth="1"/>
    <col min="2" max="2" width="17.25" style="69" bestFit="1" customWidth="1"/>
    <col min="3" max="4" width="70" style="33" customWidth="1"/>
    <col min="5" max="5" width="9" style="33" customWidth="1"/>
    <col min="6" max="28" width="70" style="33" customWidth="1"/>
    <col min="29" max="16384" width="9" style="34"/>
  </cols>
  <sheetData>
    <row r="1" spans="1:5" x14ac:dyDescent="0.25">
      <c r="A1" s="70" t="s">
        <v>82</v>
      </c>
      <c r="B1" s="68" t="s">
        <v>83</v>
      </c>
      <c r="C1" s="33" t="s">
        <v>79</v>
      </c>
      <c r="D1" s="33" t="s">
        <v>79</v>
      </c>
    </row>
    <row r="2" spans="1:5" x14ac:dyDescent="0.25">
      <c r="A2" s="70" t="s">
        <v>112</v>
      </c>
      <c r="B2" s="68" t="s">
        <v>93</v>
      </c>
    </row>
    <row r="3" spans="1:5" x14ac:dyDescent="0.25">
      <c r="A3" s="70" t="s">
        <v>116</v>
      </c>
      <c r="B3" s="68" t="s">
        <v>84</v>
      </c>
    </row>
    <row r="4" spans="1:5" x14ac:dyDescent="0.25">
      <c r="A4" s="70" t="s">
        <v>115</v>
      </c>
      <c r="B4" s="68" t="s">
        <v>85</v>
      </c>
      <c r="C4" s="33" t="s">
        <v>80</v>
      </c>
      <c r="D4" s="33" t="s">
        <v>81</v>
      </c>
    </row>
    <row r="5" spans="1:5" x14ac:dyDescent="0.25">
      <c r="A5" s="70" t="s">
        <v>117</v>
      </c>
      <c r="B5" s="68" t="s">
        <v>86</v>
      </c>
      <c r="C5" s="35"/>
      <c r="D5" s="35"/>
    </row>
    <row r="6" spans="1:5" x14ac:dyDescent="0.25">
      <c r="A6" s="70" t="s">
        <v>118</v>
      </c>
      <c r="B6" s="68" t="s">
        <v>87</v>
      </c>
    </row>
    <row r="7" spans="1:5" x14ac:dyDescent="0.25">
      <c r="A7" s="70" t="s">
        <v>119</v>
      </c>
      <c r="B7" s="68" t="s">
        <v>88</v>
      </c>
      <c r="E7" s="57" t="str">
        <f>HYPERLINK("#HealthReport!B30","Retrun")</f>
        <v>Retrun</v>
      </c>
    </row>
    <row r="8" spans="1:5" x14ac:dyDescent="0.25">
      <c r="A8" s="70" t="s">
        <v>120</v>
      </c>
      <c r="B8" s="68" t="s">
        <v>89</v>
      </c>
    </row>
    <row r="9" spans="1:5" x14ac:dyDescent="0.25">
      <c r="A9" s="70" t="s">
        <v>121</v>
      </c>
      <c r="B9" s="68" t="s">
        <v>90</v>
      </c>
    </row>
    <row r="10" spans="1:5" x14ac:dyDescent="0.25">
      <c r="A10" s="70" t="s">
        <v>50</v>
      </c>
      <c r="B10" s="68" t="s">
        <v>91</v>
      </c>
    </row>
    <row r="11" spans="1:5" x14ac:dyDescent="0.25">
      <c r="A11" s="70" t="s">
        <v>122</v>
      </c>
      <c r="B11" s="68" t="s">
        <v>92</v>
      </c>
    </row>
    <row r="12" spans="1:5" x14ac:dyDescent="0.25">
      <c r="A12" s="70" t="s">
        <v>113</v>
      </c>
      <c r="B12" s="68" t="s">
        <v>95</v>
      </c>
    </row>
    <row r="13" spans="1:5" x14ac:dyDescent="0.25">
      <c r="A13" s="70" t="s">
        <v>47</v>
      </c>
      <c r="B13" s="68" t="s">
        <v>96</v>
      </c>
      <c r="C13" s="35"/>
      <c r="D13" s="35"/>
    </row>
    <row r="14" spans="1:5" x14ac:dyDescent="0.25">
      <c r="A14" s="70" t="s">
        <v>123</v>
      </c>
      <c r="B14" s="68" t="s">
        <v>97</v>
      </c>
    </row>
    <row r="15" spans="1:5" x14ac:dyDescent="0.25">
      <c r="A15" s="70" t="s">
        <v>260</v>
      </c>
      <c r="B15" s="68" t="s">
        <v>99</v>
      </c>
    </row>
    <row r="16" spans="1:5" x14ac:dyDescent="0.25">
      <c r="A16" s="70" t="s">
        <v>98</v>
      </c>
      <c r="B16" s="68" t="s">
        <v>100</v>
      </c>
    </row>
    <row r="17" spans="1:2" x14ac:dyDescent="0.25">
      <c r="A17" s="70" t="s">
        <v>125</v>
      </c>
      <c r="B17" s="68" t="s">
        <v>101</v>
      </c>
    </row>
    <row r="18" spans="1:2" x14ac:dyDescent="0.25">
      <c r="A18" s="70" t="s">
        <v>124</v>
      </c>
      <c r="B18" s="68" t="s">
        <v>102</v>
      </c>
    </row>
    <row r="19" spans="1:2" x14ac:dyDescent="0.25">
      <c r="A19" s="70" t="s">
        <v>126</v>
      </c>
      <c r="B19" s="68" t="s">
        <v>103</v>
      </c>
    </row>
    <row r="20" spans="1:2" x14ac:dyDescent="0.25">
      <c r="A20" s="70" t="s">
        <v>127</v>
      </c>
      <c r="B20" s="68" t="s">
        <v>104</v>
      </c>
    </row>
    <row r="21" spans="1:2" x14ac:dyDescent="0.25">
      <c r="A21" s="70" t="s">
        <v>128</v>
      </c>
      <c r="B21" s="68" t="s">
        <v>105</v>
      </c>
    </row>
    <row r="22" spans="1:2" x14ac:dyDescent="0.25">
      <c r="A22" s="70" t="s">
        <v>129</v>
      </c>
      <c r="B22" s="68" t="s">
        <v>106</v>
      </c>
    </row>
    <row r="23" spans="1:2" x14ac:dyDescent="0.25">
      <c r="A23" s="70" t="s">
        <v>130</v>
      </c>
      <c r="B23" s="68" t="s">
        <v>107</v>
      </c>
    </row>
    <row r="24" spans="1:2" x14ac:dyDescent="0.25">
      <c r="A24" s="70" t="s">
        <v>131</v>
      </c>
      <c r="B24" s="68" t="s">
        <v>108</v>
      </c>
    </row>
    <row r="25" spans="1:2" x14ac:dyDescent="0.25">
      <c r="A25" s="70" t="s">
        <v>132</v>
      </c>
      <c r="B25" s="68" t="s">
        <v>109</v>
      </c>
    </row>
    <row r="26" spans="1:2" x14ac:dyDescent="0.25">
      <c r="A26" s="70" t="s">
        <v>133</v>
      </c>
      <c r="B26" s="68" t="s">
        <v>110</v>
      </c>
    </row>
    <row r="27" spans="1:2" x14ac:dyDescent="0.25">
      <c r="A27" s="70" t="s">
        <v>134</v>
      </c>
      <c r="B27" s="68" t="s">
        <v>111</v>
      </c>
    </row>
  </sheetData>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D7FAC-338D-40AE-9A03-D56E1C0E6070}">
  <dimension ref="A1:AB46"/>
  <sheetViews>
    <sheetView workbookViewId="0">
      <pane xSplit="1" ySplit="1" topLeftCell="B39" activePane="bottomRight" state="frozen"/>
      <selection activeCell="B3" sqref="B3"/>
      <selection pane="topRight" activeCell="B3" sqref="B3"/>
      <selection pane="bottomLeft" activeCell="B3" sqref="B3"/>
      <selection pane="bottomRight" activeCell="C41" sqref="C41"/>
    </sheetView>
  </sheetViews>
  <sheetFormatPr defaultRowHeight="15" x14ac:dyDescent="0.25"/>
  <cols>
    <col min="1" max="1" width="25.5" style="72" customWidth="1"/>
    <col min="2" max="2" width="24.625" style="72" customWidth="1"/>
    <col min="3" max="27" width="87.5" style="33" customWidth="1"/>
    <col min="28" max="16384" width="9" style="34"/>
  </cols>
  <sheetData>
    <row r="1" spans="1:28" x14ac:dyDescent="0.25">
      <c r="A1" s="66" t="s">
        <v>137</v>
      </c>
      <c r="B1" s="67" t="s">
        <v>138</v>
      </c>
      <c r="C1" s="33" t="s">
        <v>12</v>
      </c>
    </row>
    <row r="2" spans="1:28" x14ac:dyDescent="0.25">
      <c r="A2" s="70" t="s">
        <v>114</v>
      </c>
      <c r="B2" s="68" t="s">
        <v>94</v>
      </c>
      <c r="AB2" s="33"/>
    </row>
    <row r="3" spans="1:28" x14ac:dyDescent="0.25">
      <c r="A3" s="66" t="s">
        <v>196</v>
      </c>
      <c r="B3" s="67" t="s">
        <v>139</v>
      </c>
    </row>
    <row r="4" spans="1:28" x14ac:dyDescent="0.25">
      <c r="A4" s="66" t="s">
        <v>218</v>
      </c>
      <c r="B4" s="67" t="s">
        <v>169</v>
      </c>
    </row>
    <row r="5" spans="1:28" x14ac:dyDescent="0.25">
      <c r="A5" s="66" t="s">
        <v>223</v>
      </c>
      <c r="B5" s="67" t="s">
        <v>172</v>
      </c>
    </row>
    <row r="6" spans="1:28" x14ac:dyDescent="0.25">
      <c r="A6" s="66" t="s">
        <v>197</v>
      </c>
      <c r="B6" s="67" t="s">
        <v>150</v>
      </c>
    </row>
    <row r="7" spans="1:28" x14ac:dyDescent="0.25">
      <c r="A7" s="66" t="s">
        <v>198</v>
      </c>
      <c r="B7" s="67" t="s">
        <v>143</v>
      </c>
    </row>
    <row r="8" spans="1:28" x14ac:dyDescent="0.25">
      <c r="A8" s="66" t="s">
        <v>199</v>
      </c>
      <c r="B8" s="67" t="s">
        <v>151</v>
      </c>
    </row>
    <row r="9" spans="1:28" x14ac:dyDescent="0.25">
      <c r="A9" s="66" t="s">
        <v>200</v>
      </c>
      <c r="B9" s="67" t="s">
        <v>152</v>
      </c>
    </row>
    <row r="10" spans="1:28" x14ac:dyDescent="0.25">
      <c r="A10" s="66" t="s">
        <v>201</v>
      </c>
      <c r="B10" s="67" t="s">
        <v>153</v>
      </c>
    </row>
    <row r="11" spans="1:28" x14ac:dyDescent="0.25">
      <c r="A11" s="66" t="s">
        <v>16</v>
      </c>
      <c r="B11" s="67" t="s">
        <v>154</v>
      </c>
    </row>
    <row r="12" spans="1:28" x14ac:dyDescent="0.25">
      <c r="A12" s="66" t="s">
        <v>53</v>
      </c>
      <c r="B12" s="67" t="s">
        <v>155</v>
      </c>
      <c r="C12" s="36" t="s">
        <v>236</v>
      </c>
    </row>
    <row r="13" spans="1:28" ht="135" x14ac:dyDescent="0.25">
      <c r="A13" s="66" t="s">
        <v>203</v>
      </c>
      <c r="B13" s="67" t="s">
        <v>156</v>
      </c>
      <c r="C13" s="73" t="s">
        <v>204</v>
      </c>
    </row>
    <row r="14" spans="1:28" ht="409.5" x14ac:dyDescent="0.25">
      <c r="A14" s="66" t="s">
        <v>157</v>
      </c>
      <c r="B14" s="67" t="s">
        <v>158</v>
      </c>
      <c r="C14" s="33" t="s">
        <v>205</v>
      </c>
    </row>
    <row r="15" spans="1:28" ht="105" x14ac:dyDescent="0.25">
      <c r="A15" s="66" t="s">
        <v>210</v>
      </c>
      <c r="B15" s="67" t="s">
        <v>160</v>
      </c>
      <c r="C15" s="33" t="s">
        <v>61</v>
      </c>
    </row>
    <row r="16" spans="1:28" x14ac:dyDescent="0.25">
      <c r="A16" s="66" t="s">
        <v>206</v>
      </c>
      <c r="B16" s="67" t="s">
        <v>140</v>
      </c>
    </row>
    <row r="17" spans="1:3" x14ac:dyDescent="0.25">
      <c r="A17" s="66" t="s">
        <v>231</v>
      </c>
      <c r="B17" s="67" t="s">
        <v>187</v>
      </c>
      <c r="C17" s="35" t="s">
        <v>59</v>
      </c>
    </row>
    <row r="18" spans="1:3" x14ac:dyDescent="0.25">
      <c r="A18" s="66" t="s">
        <v>208</v>
      </c>
      <c r="B18" s="67" t="s">
        <v>142</v>
      </c>
    </row>
    <row r="19" spans="1:3" ht="390" x14ac:dyDescent="0.25">
      <c r="A19" s="66" t="s">
        <v>207</v>
      </c>
      <c r="B19" s="67" t="s">
        <v>141</v>
      </c>
      <c r="C19" s="33" t="s">
        <v>60</v>
      </c>
    </row>
    <row r="20" spans="1:3" x14ac:dyDescent="0.25">
      <c r="A20" s="66" t="s">
        <v>209</v>
      </c>
      <c r="B20" s="67" t="s">
        <v>159</v>
      </c>
    </row>
    <row r="21" spans="1:3" ht="105" x14ac:dyDescent="0.25">
      <c r="A21" s="66" t="s">
        <v>211</v>
      </c>
      <c r="B21" s="67" t="s">
        <v>161</v>
      </c>
      <c r="C21" s="36" t="s">
        <v>63</v>
      </c>
    </row>
    <row r="22" spans="1:3" x14ac:dyDescent="0.25">
      <c r="A22" s="66" t="s">
        <v>164</v>
      </c>
      <c r="B22" s="67" t="s">
        <v>165</v>
      </c>
    </row>
    <row r="23" spans="1:3" ht="409.5" x14ac:dyDescent="0.25">
      <c r="A23" s="66" t="s">
        <v>195</v>
      </c>
      <c r="B23" s="67" t="s">
        <v>166</v>
      </c>
      <c r="C23" s="33" t="s">
        <v>67</v>
      </c>
    </row>
    <row r="24" spans="1:3" x14ac:dyDescent="0.25">
      <c r="A24" s="66" t="s">
        <v>229</v>
      </c>
      <c r="B24" s="67" t="s">
        <v>185</v>
      </c>
    </row>
    <row r="25" spans="1:3" x14ac:dyDescent="0.25">
      <c r="A25" s="66" t="s">
        <v>230</v>
      </c>
      <c r="B25" s="67" t="s">
        <v>186</v>
      </c>
    </row>
    <row r="26" spans="1:3" ht="120" x14ac:dyDescent="0.25">
      <c r="A26" s="66" t="s">
        <v>216</v>
      </c>
      <c r="B26" s="67" t="s">
        <v>167</v>
      </c>
      <c r="C26" s="33" t="s">
        <v>68</v>
      </c>
    </row>
    <row r="27" spans="1:3" x14ac:dyDescent="0.25">
      <c r="A27" s="66" t="s">
        <v>217</v>
      </c>
      <c r="B27" s="67" t="s">
        <v>168</v>
      </c>
    </row>
    <row r="28" spans="1:3" ht="409.5" x14ac:dyDescent="0.25">
      <c r="A28" s="66" t="s">
        <v>220</v>
      </c>
      <c r="B28" s="67" t="s">
        <v>170</v>
      </c>
      <c r="C28" s="33" t="s">
        <v>222</v>
      </c>
    </row>
    <row r="29" spans="1:3" ht="409.5" x14ac:dyDescent="0.25">
      <c r="A29" s="66" t="s">
        <v>221</v>
      </c>
      <c r="B29" s="67" t="s">
        <v>171</v>
      </c>
      <c r="C29" s="33" t="s">
        <v>219</v>
      </c>
    </row>
    <row r="30" spans="1:3" x14ac:dyDescent="0.25">
      <c r="A30" s="66" t="s">
        <v>226</v>
      </c>
      <c r="B30" s="67" t="s">
        <v>175</v>
      </c>
    </row>
    <row r="31" spans="1:3" ht="45" x14ac:dyDescent="0.25">
      <c r="A31" s="66" t="s">
        <v>228</v>
      </c>
      <c r="B31" s="67" t="s">
        <v>176</v>
      </c>
      <c r="C31" s="33" t="s">
        <v>227</v>
      </c>
    </row>
    <row r="32" spans="1:3" ht="60" x14ac:dyDescent="0.25">
      <c r="A32" s="66" t="s">
        <v>177</v>
      </c>
      <c r="B32" s="67" t="s">
        <v>178</v>
      </c>
      <c r="C32" s="37" t="s">
        <v>71</v>
      </c>
    </row>
    <row r="33" spans="1:3" x14ac:dyDescent="0.25">
      <c r="A33" s="66" t="s">
        <v>179</v>
      </c>
      <c r="B33" s="67" t="s">
        <v>180</v>
      </c>
    </row>
    <row r="34" spans="1:3" ht="60" x14ac:dyDescent="0.25">
      <c r="A34" s="66" t="s">
        <v>181</v>
      </c>
      <c r="B34" s="67" t="s">
        <v>182</v>
      </c>
      <c r="C34" s="37" t="s">
        <v>72</v>
      </c>
    </row>
    <row r="35" spans="1:3" ht="45" x14ac:dyDescent="0.25">
      <c r="A35" s="66" t="s">
        <v>183</v>
      </c>
      <c r="B35" s="67" t="s">
        <v>184</v>
      </c>
      <c r="C35" s="33" t="s">
        <v>73</v>
      </c>
    </row>
    <row r="36" spans="1:3" ht="60" x14ac:dyDescent="0.25">
      <c r="A36" s="66" t="s">
        <v>232</v>
      </c>
      <c r="B36" s="67" t="s">
        <v>188</v>
      </c>
      <c r="C36" s="33" t="s">
        <v>74</v>
      </c>
    </row>
    <row r="37" spans="1:3" ht="60" x14ac:dyDescent="0.25">
      <c r="A37" s="66" t="s">
        <v>233</v>
      </c>
      <c r="B37" s="67" t="s">
        <v>189</v>
      </c>
      <c r="C37" s="33" t="s">
        <v>69</v>
      </c>
    </row>
    <row r="38" spans="1:3" ht="165" x14ac:dyDescent="0.25">
      <c r="A38" s="66" t="s">
        <v>146</v>
      </c>
      <c r="B38" s="67" t="s">
        <v>145</v>
      </c>
      <c r="C38" s="33" t="s">
        <v>70</v>
      </c>
    </row>
    <row r="39" spans="1:3" ht="409.5" x14ac:dyDescent="0.25">
      <c r="A39" s="66" t="s">
        <v>234</v>
      </c>
      <c r="B39" s="67" t="s">
        <v>190</v>
      </c>
      <c r="C39" s="33" t="s">
        <v>75</v>
      </c>
    </row>
    <row r="40" spans="1:3" x14ac:dyDescent="0.25">
      <c r="A40" s="66" t="s">
        <v>235</v>
      </c>
      <c r="B40" s="67" t="s">
        <v>191</v>
      </c>
    </row>
    <row r="41" spans="1:3" ht="180" x14ac:dyDescent="0.25">
      <c r="A41" s="66" t="s">
        <v>192</v>
      </c>
      <c r="B41" s="67" t="s">
        <v>193</v>
      </c>
      <c r="C41" s="33" t="s">
        <v>76</v>
      </c>
    </row>
    <row r="42" spans="1:3" x14ac:dyDescent="0.25">
      <c r="A42" s="66" t="s">
        <v>212</v>
      </c>
      <c r="B42" s="67" t="s">
        <v>162</v>
      </c>
    </row>
    <row r="43" spans="1:3" x14ac:dyDescent="0.25">
      <c r="A43" s="66" t="s">
        <v>213</v>
      </c>
      <c r="B43" s="67" t="s">
        <v>163</v>
      </c>
    </row>
    <row r="44" spans="1:3" x14ac:dyDescent="0.25">
      <c r="A44" s="66" t="s">
        <v>214</v>
      </c>
      <c r="B44" s="67" t="s">
        <v>215</v>
      </c>
    </row>
    <row r="45" spans="1:3" x14ac:dyDescent="0.25">
      <c r="A45" s="66" t="s">
        <v>148</v>
      </c>
      <c r="B45" s="67" t="s">
        <v>147</v>
      </c>
    </row>
    <row r="46" spans="1:3" x14ac:dyDescent="0.25">
      <c r="A46" s="66" t="s">
        <v>149</v>
      </c>
      <c r="B46" s="67" t="s">
        <v>194</v>
      </c>
    </row>
  </sheetData>
  <phoneticPr fontId="1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93CED-92E7-4A64-BF87-00E3B3B76718}">
  <dimension ref="A1:D13"/>
  <sheetViews>
    <sheetView tabSelected="1" workbookViewId="0">
      <pane xSplit="1" ySplit="1" topLeftCell="B5" activePane="bottomRight" state="frozen"/>
      <selection pane="topRight" activeCell="B1" sqref="B1"/>
      <selection pane="bottomLeft" activeCell="A2" sqref="A2"/>
      <selection pane="bottomRight" activeCell="B3" sqref="B3"/>
    </sheetView>
  </sheetViews>
  <sheetFormatPr defaultRowHeight="15" x14ac:dyDescent="0.25"/>
  <cols>
    <col min="1" max="1" width="19.75" customWidth="1"/>
    <col min="2" max="2" width="21" customWidth="1"/>
    <col min="3" max="3" width="67.25" style="86" customWidth="1"/>
    <col min="4" max="4" width="72" style="86" customWidth="1"/>
  </cols>
  <sheetData>
    <row r="1" spans="1:4" x14ac:dyDescent="0.25">
      <c r="A1" s="82" t="s">
        <v>238</v>
      </c>
      <c r="B1" s="67" t="s">
        <v>237</v>
      </c>
      <c r="C1" s="85" t="s">
        <v>239</v>
      </c>
      <c r="D1" s="85" t="s">
        <v>240</v>
      </c>
    </row>
    <row r="2" spans="1:4" ht="375" x14ac:dyDescent="0.25">
      <c r="A2" s="83" t="s">
        <v>243</v>
      </c>
      <c r="B2" s="67" t="s">
        <v>250</v>
      </c>
      <c r="C2" s="86" t="s">
        <v>64</v>
      </c>
      <c r="D2" s="86" t="s">
        <v>64</v>
      </c>
    </row>
    <row r="3" spans="1:4" ht="120" x14ac:dyDescent="0.25">
      <c r="A3" s="65" t="s">
        <v>258</v>
      </c>
      <c r="B3" s="67" t="s">
        <v>251</v>
      </c>
      <c r="C3" s="86" t="s">
        <v>65</v>
      </c>
      <c r="D3" s="86" t="s">
        <v>65</v>
      </c>
    </row>
    <row r="4" spans="1:4" x14ac:dyDescent="0.25">
      <c r="A4" s="66" t="s">
        <v>225</v>
      </c>
      <c r="B4" s="67" t="s">
        <v>174</v>
      </c>
    </row>
    <row r="5" spans="1:4" ht="225" x14ac:dyDescent="0.25">
      <c r="A5" s="32" t="s">
        <v>244</v>
      </c>
      <c r="B5" s="67" t="s">
        <v>252</v>
      </c>
      <c r="C5" s="86" t="s">
        <v>66</v>
      </c>
      <c r="D5" s="86" t="s">
        <v>66</v>
      </c>
    </row>
    <row r="6" spans="1:4" ht="27" x14ac:dyDescent="0.25">
      <c r="A6" s="32" t="s">
        <v>241</v>
      </c>
      <c r="B6" s="67" t="s">
        <v>245</v>
      </c>
    </row>
    <row r="7" spans="1:4" x14ac:dyDescent="0.25">
      <c r="A7" s="84" t="s">
        <v>259</v>
      </c>
      <c r="B7" s="67" t="s">
        <v>253</v>
      </c>
    </row>
    <row r="8" spans="1:4" x14ac:dyDescent="0.25">
      <c r="A8" s="32" t="s">
        <v>247</v>
      </c>
      <c r="B8" s="67" t="s">
        <v>246</v>
      </c>
    </row>
    <row r="9" spans="1:4" x14ac:dyDescent="0.25">
      <c r="A9" s="32" t="s">
        <v>242</v>
      </c>
      <c r="B9" s="67" t="s">
        <v>254</v>
      </c>
    </row>
    <row r="10" spans="1:4" x14ac:dyDescent="0.25">
      <c r="A10" s="32" t="s">
        <v>224</v>
      </c>
      <c r="B10" s="67" t="s">
        <v>173</v>
      </c>
    </row>
    <row r="11" spans="1:4" x14ac:dyDescent="0.25">
      <c r="A11" s="82" t="s">
        <v>248</v>
      </c>
      <c r="B11" s="67" t="s">
        <v>255</v>
      </c>
    </row>
    <row r="12" spans="1:4" ht="180" x14ac:dyDescent="0.25">
      <c r="A12" s="65" t="s">
        <v>256</v>
      </c>
      <c r="B12" s="32" t="s">
        <v>257</v>
      </c>
      <c r="C12" s="86" t="s">
        <v>62</v>
      </c>
      <c r="D12" s="86" t="s">
        <v>62</v>
      </c>
    </row>
    <row r="13" spans="1:4" x14ac:dyDescent="0.25">
      <c r="A13" s="65" t="s">
        <v>144</v>
      </c>
      <c r="B13" s="67" t="s">
        <v>249</v>
      </c>
    </row>
  </sheetData>
  <phoneticPr fontId="1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00D4997A-F5D7-47B8-8021-08C076C5E1C7}">
  <ds:schemaRefs>
    <ds:schemaRef ds:uri="http://schemas.microsoft.com/sharepoint/v3/contenttype/forms"/>
  </ds:schemaRefs>
</ds:datastoreItem>
</file>

<file path=customXml/itemProps2.xml><?xml version="1.0" encoding="utf-8"?>
<ds:datastoreItem xmlns:ds="http://schemas.openxmlformats.org/officeDocument/2006/customXml" ds:itemID="{98E7F3D6-785F-49FE-8501-BF769B99AE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1BB4A4-C009-44B7-9F89-7FA7A7BF749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TM16400501</Template>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HealthReport</vt:lpstr>
      <vt:lpstr>OS</vt:lpstr>
      <vt:lpstr>DB</vt:lpstr>
      <vt:lpstr>INST</vt:lpstr>
      <vt:lpstr>ColumnTitle1</vt:lpstr>
      <vt:lpstr>HealthReport!Print_Titles</vt:lpstr>
      <vt:lpstr>RowTitleRegion1..C7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2022-11-10T06:32:34Z</dcterms:created>
  <dcterms:modified xsi:type="dcterms:W3CDTF">2025-07-29T09:42:20Z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