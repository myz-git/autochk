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true" codeName="ThisWorkbook"/>
  <bookViews>
    <workbookView xWindow="-120" yWindow="-120" windowWidth="29040" windowHeight="15720"/>
  </bookViews>
  <sheets>
    <sheet name="HealthReport" sheetId="1" r:id="rId1"/>
    <sheet name="OS" sheetId="5" r:id="rId2"/>
    <sheet name="DB" sheetId="6" r:id="rId3"/>
    <sheet name="INST" sheetId="7" r:id="rId4"/>
  </sheets>
  <definedNames>
    <definedName name="ChecklistTotal">SUM(#REF!)</definedName>
    <definedName name="ColumnTitle1">HealthReport!$B$29:$L$41</definedName>
    <definedName name="ColumnTitle2">#REF!</definedName>
    <definedName name="ColumnTitle3">#REF!</definedName>
    <definedName localSheetId="0" name="_xlnm.Print_Titles">HealthReport!$28:$28</definedName>
    <definedName name="RowTitleRegion1..C7">HealthReport!$C$4</definedName>
    <definedName name="SchoolYear">YEAR(TODAY())&amp;" - "&amp;YEAR(TODAY())+1</definedName>
    <definedName name="SumItemsBought">COUNTIF(HealthReport!$L$29:$L$41,"&gt;0")</definedName>
    <definedName name="SumItemsToBuy">COUNTIF(HealthReport!$H$29:$H$41,"&gt;0")</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 i="1" l="true"/>
  <c r="H13" i="1"/>
  <c r="L29" i="1" l="true"/>
  <c r="L30" i="1"/>
</calcChain>
</file>

<file path=xl/comments1.xml><?xml version="1.0" encoding="utf-8"?>
<comments xmlns="http://schemas.openxmlformats.org/spreadsheetml/2006/main">
  <authors>
    <author>健康检查系统</author>
  </authors>
  <commentList>
    <comment ref="C11" authorId="0">
      <text>
        <t>严重问题:
问题: wewinpri主机,randomize_va_space参数当前值2不等于期望值0,
建议: 设置randomize_va_space=0
普通问题:
问题: wewinpri主机,sem参数总信号量当前32000小于阈值[250 256000 100 1024],
建议: 调整sem参数
问题: wewinpri主机,swappiness参数当前值5大于阈值1,
建议: 设置swappiness=1
轻微问题:
问题: wewinpri主机,ipfrag_high_thresh参数当前值4194304小于阈值16777216,
建议: 设置ipfrag_high_thresh=16777216
问题: wewinpri主机,ipfrag_low_thresh参数当前值3145728小于阈值15728640,
建议: 设置ipfrag_low_thresh=15728640</t>
      </text>
    </comment>
    <comment ref="C12" authorId="0">
      <text>
        <t>普通问题:
问题: wewinpri主机,memlock限制当前值64不等于期望值-1,
建议: 设置memlock=-1</t>
      </text>
    </comment>
    <comment ref="C17" authorId="0">
      <text>
        <t>普通问题:
问题: wewinpri主机,可用内存当前3642 MB小于阈值4096 MB,
建议: 增加内存或优化内存使用</t>
      </text>
    </comment>
    <comment ref="C20" authorId="0">
      <text>
        <t>普通问题:
问题: wewinpri主机,未配置大页内存,
建议: 根据数据库SGA大小配置适当的大页内存</t>
      </text>
    </comment>
    <comment ref="C26" authorId="0">
      <text>
        <t>普通问题:
问题: wewinpri主机,NSSwitch配置中发现NIS配置,
建议: 移除NIS配置以提升系统安全性</t>
      </text>
    </comment>
    <comment ref="C27" authorId="0">
      <text>
        <t>普通问题:
问题: wewinpri主机,LO网卡MTU值当前为65536,超过16384,
建议: 调整为16384或更小值以提升网络性能</t>
      </text>
    </comment>
    <comment ref="C29" authorId="0">
      <text>
        <t>普通问题:
问题: wewinpri主机,NOZEROCONF未配置或未明确配置,
建议: 设置NOZEROCONF=yes以提升网络安全性</t>
      </text>
    </comment>
    <comment ref="C30" authorId="0">
      <text>
        <t>普通问题:
问题: wewinpri主机,检测到安装了存在安全风险的RPM包
ghostscript-9.52-6.ky10.x86_64
samba-client-4.11.12-15.p01.ky10.x86_64
libsmbclient-4.11.12-15.p01.ky10.x86_64
freetype-2.10.2-3.ky10.x86_64
libwbclient-4.11.12-15.p01.ky10.x86_64
freetype-help-2.10.2-3.ky10.noarch
freetype-devel-2.10.2-3.ky10.x86_64
pcp-pmda-samba-4.1.3-13.p04.ky10.x86_64
samba-common-4.11.12-15.p01.ky10.x86_64,
建议: 移除存在安全隐患的RPM包以提升系统安全性</t>
      </text>
    </comment>
  </commentList>
</comments>
</file>

<file path=xl/comments2.xml><?xml version="1.0" encoding="utf-8"?>
<comments xmlns="http://schemas.openxmlformats.org/spreadsheetml/2006/main">
  <authors>
    <author>健康检查系统</author>
  </authors>
  <commentList>
    <comment ref="C25" authorId="0">
      <text>
        <t>轻微问题:
问题: wewin数据库,序列 SYSBENCH cache 4 小于 400,
建议: 设置CACHE为400或以上并使用NOORDER</t>
      </text>
    </comment>
    <comment ref="C29" authorId="0">
      <text>
        <t>普通问题:
问题: wewin数据库,存在密码即将过期的用户,
建议: 提前更新用户密码</t>
      </text>
    </comment>
    <comment ref="C30" authorId="0">
      <text>
        <t>轻微问题:
问题: wewin数据库,存在未设置密码复杂性校验的PROFILE,
建议: 启用密码复杂性验证以增强安全性</t>
      </text>
    </comment>
    <comment ref="C31" authorId="0">
      <text>
        <t>轻微问题:
问题: wewin数据库,存在6个DBA权限账户,
建议: 只保留一个DBA账户，收回其他DBA用户权限以增强安全性</t>
      </text>
    </comment>
    <comment ref="C39" authorId="0">
      <text>
        <t>严重问题:
问题: wewin数据库,未发现RMAN备份记录,
建议: 确认是否有其他有效备份,尽快部署RMAN备份策略</t>
      </text>
    </comment>
  </commentList>
</comments>
</file>

<file path=xl/comments3.xml><?xml version="1.0" encoding="utf-8"?>
<comments xmlns="http://schemas.openxmlformats.org/spreadsheetml/2006/main">
  <authors>
    <author>健康检查系统</author>
  </authors>
  <commentList>
    <comment ref="C11" authorId="0">
      <text>
        <t>普通问题:
问题: wewin实例,未安装PSU或RU,
建议: 生产系统定期安装和更新PSU或RU</t>
      </text>
    </comment>
    <comment ref="C13" authorId="0">
      <text>
        <t>普通问题:
问题: wewin实例,未检测到监听,
建议: 核查监听是否正常运行</t>
      </text>
    </comment>
    <comment ref="C16" authorId="0">
      <text>
        <t>轻微问题:
wewin实例,REDO文件1大小50.0MB小于阈值200.0MB,
建议: 生产环境每个redo文件在200M-4G之间</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<sst xmlns="http://schemas.openxmlformats.org/spreadsheetml/2006/main" count="251" uniqueCount="251">
  <si>
    <t>Server Info</t>
    <phoneticPr fontId="14" type="noConversion"/>
  </si>
  <si>
    <t>DataBase Info</t>
    <phoneticPr fontId="14" type="noConversion"/>
  </si>
  <si>
    <t>主机名</t>
  </si>
  <si>
    <t>内存</t>
  </si>
  <si>
    <t>数据库版本</t>
  </si>
  <si>
    <t>数据库架构</t>
  </si>
  <si>
    <t>SINGLE INSTANCE</t>
  </si>
  <si>
    <t>主备库角色</t>
  </si>
  <si>
    <t>ARCHIVELOG</t>
  </si>
  <si>
    <t>1513.200  GB</t>
  </si>
  <si>
    <t>数据库字符集</t>
  </si>
  <si>
    <t>AMERICAN_AMERICA.US7ASCII</t>
  </si>
  <si>
    <t>数据库名</t>
    <phoneticPr fontId="14" type="noConversion"/>
  </si>
  <si>
    <t>PRIMARY,MAXIMUM PERFORMANCE</t>
    <phoneticPr fontId="14" type="noConversion"/>
  </si>
  <si>
    <t>Issue summary</t>
    <phoneticPr fontId="14" type="noConversion"/>
  </si>
  <si>
    <t>其他项检查</t>
    <phoneticPr fontId="14" type="noConversion"/>
  </si>
  <si>
    <t>重要</t>
    <phoneticPr fontId="14" type="noConversion"/>
  </si>
  <si>
    <t>轻微</t>
    <phoneticPr fontId="14" type="noConversion"/>
  </si>
  <si>
    <t>主机系统分析</t>
    <phoneticPr fontId="14" type="noConversion"/>
  </si>
  <si>
    <t>Issue list</t>
    <phoneticPr fontId="14" type="noConversion"/>
  </si>
  <si>
    <t>No.</t>
    <phoneticPr fontId="14" type="noConversion"/>
  </si>
  <si>
    <t>问题描述及建议</t>
    <phoneticPr fontId="14" type="noConversion"/>
  </si>
  <si>
    <t>问题类别</t>
    <phoneticPr fontId="14" type="noConversion"/>
  </si>
  <si>
    <t>主机系统分析</t>
  </si>
  <si>
    <t>检查项</t>
    <phoneticPr fontId="14" type="noConversion"/>
  </si>
  <si>
    <t>结果</t>
    <phoneticPr fontId="14" type="noConversion"/>
  </si>
  <si>
    <t>文件系统使用率</t>
    <phoneticPr fontId="14" type="noConversion"/>
  </si>
  <si>
    <t>内核参数</t>
    <phoneticPr fontId="14" type="noConversion"/>
  </si>
  <si>
    <t>表空间使用率</t>
    <phoneticPr fontId="14" type="noConversion"/>
  </si>
  <si>
    <t>影响</t>
    <phoneticPr fontId="14" type="noConversion"/>
  </si>
  <si>
    <t>CPU负载检查</t>
    <phoneticPr fontId="14" type="noConversion"/>
  </si>
  <si>
    <t>普通</t>
    <phoneticPr fontId="14" type="noConversion"/>
  </si>
  <si>
    <t xml:space="preserve">       Health  Report</t>
    <phoneticPr fontId="14" type="noConversion"/>
  </si>
  <si>
    <t>主机名</t>
    <phoneticPr fontId="14" type="noConversion"/>
  </si>
  <si>
    <t>内存使用</t>
    <phoneticPr fontId="14" type="noConversion"/>
  </si>
  <si>
    <t>IP地址</t>
    <phoneticPr fontId="14" type="noConversion"/>
  </si>
  <si>
    <t>系统日志</t>
    <phoneticPr fontId="14" type="noConversion"/>
  </si>
  <si>
    <t>数据库架构</t>
    <phoneticPr fontId="14" type="noConversion"/>
  </si>
  <si>
    <t>系统版本</t>
    <phoneticPr fontId="14" type="noConversion"/>
  </si>
  <si>
    <t>内存</t>
    <phoneticPr fontId="14" type="noConversion"/>
  </si>
  <si>
    <t>交换分区</t>
    <phoneticPr fontId="14" type="noConversion"/>
  </si>
  <si>
    <t>ULIMIT限制</t>
    <phoneticPr fontId="14" type="noConversion"/>
  </si>
  <si>
    <t>索引资源使用率</t>
    <phoneticPr fontId="14" type="noConversion"/>
  </si>
  <si>
    <t>透明大页</t>
    <phoneticPr fontId="14" type="noConversion"/>
  </si>
  <si>
    <t>磁盘IO负载</t>
    <phoneticPr fontId="14" type="noConversion"/>
  </si>
  <si>
    <t>系统大页</t>
    <phoneticPr fontId="14" type="noConversion"/>
  </si>
  <si>
    <t>NUMA使用</t>
    <phoneticPr fontId="14" type="noConversion"/>
  </si>
  <si>
    <t>时钟同步</t>
    <phoneticPr fontId="14" type="noConversion"/>
  </si>
  <si>
    <t>时区</t>
    <phoneticPr fontId="14" type="noConversion"/>
  </si>
  <si>
    <t>数据库名称</t>
    <phoneticPr fontId="14" type="noConversion"/>
  </si>
  <si>
    <t>并行度&gt;1的表</t>
    <phoneticPr fontId="14" type="noConversion"/>
  </si>
  <si>
    <t>并行度&gt;1的索引</t>
    <phoneticPr fontId="14" type="noConversion"/>
  </si>
  <si>
    <t>数据库版本</t>
    <phoneticPr fontId="14" type="noConversion"/>
  </si>
  <si>
    <t>是否开启归档</t>
    <phoneticPr fontId="14" type="noConversion"/>
  </si>
  <si>
    <t>是否开启闪回</t>
    <phoneticPr fontId="14" type="noConversion"/>
  </si>
  <si>
    <t>数据文件数量</t>
    <phoneticPr fontId="14" type="noConversion"/>
  </si>
  <si>
    <t>表数量</t>
    <phoneticPr fontId="14" type="noConversion"/>
  </si>
  <si>
    <t>主备库角色</t>
    <phoneticPr fontId="14" type="noConversion"/>
  </si>
  <si>
    <t>用户大小</t>
    <phoneticPr fontId="14" type="noConversion"/>
  </si>
  <si>
    <t>用户状态</t>
    <phoneticPr fontId="14" type="noConversion"/>
  </si>
  <si>
    <t>用户表数量</t>
    <phoneticPr fontId="14" type="noConversion"/>
  </si>
  <si>
    <t>数据库状态</t>
    <phoneticPr fontId="14" type="noConversion"/>
  </si>
  <si>
    <t>数据库组件</t>
    <phoneticPr fontId="14" type="noConversion"/>
  </si>
  <si>
    <t>功能特性</t>
    <phoneticPr fontId="14" type="noConversion"/>
  </si>
  <si>
    <t>字符集</t>
    <phoneticPr fontId="14" type="noConversion"/>
  </si>
  <si>
    <t>数据库参数</t>
    <phoneticPr fontId="14" type="noConversion"/>
  </si>
  <si>
    <t>实例名</t>
    <phoneticPr fontId="14" type="noConversion"/>
  </si>
  <si>
    <t>监听检查</t>
    <phoneticPr fontId="14" type="noConversion"/>
  </si>
  <si>
    <t>数据库负载</t>
    <phoneticPr fontId="14" type="noConversion"/>
  </si>
  <si>
    <t>数据库补丁</t>
    <phoneticPr fontId="14" type="noConversion"/>
  </si>
  <si>
    <t>参数文件</t>
    <phoneticPr fontId="14" type="noConversion"/>
  </si>
  <si>
    <t>数据库运行效率</t>
    <phoneticPr fontId="14" type="noConversion"/>
  </si>
  <si>
    <t>CPU使用</t>
    <phoneticPr fontId="14" type="noConversion"/>
  </si>
  <si>
    <t>PSU&amp;RU</t>
    <phoneticPr fontId="14" type="noConversion"/>
  </si>
  <si>
    <t>Top等待</t>
    <phoneticPr fontId="14" type="noConversion"/>
  </si>
  <si>
    <t>Top SQL(耗时)</t>
    <phoneticPr fontId="14" type="noConversion"/>
  </si>
  <si>
    <t>CPU Info</t>
    <phoneticPr fontId="14" type="noConversion"/>
  </si>
  <si>
    <t>CPU 主频</t>
    <phoneticPr fontId="14" type="noConversion"/>
  </si>
  <si>
    <t>Selinux状态</t>
    <phoneticPr fontId="14" type="noConversion"/>
  </si>
  <si>
    <t>防火墙状态</t>
    <phoneticPr fontId="14" type="noConversion"/>
  </si>
  <si>
    <t>myzdb100</t>
  </si>
  <si>
    <t>10.0.2.15
1.1.1.100</t>
  </si>
  <si>
    <t>Linux x86_64</t>
  </si>
  <si>
    <t>Linux.Red Hat Enterprise Linux release 8.8 (Ootpa)</t>
  </si>
  <si>
    <t>12th Gen Intel(R) Core(TM) i5-12400F 4</t>
    <phoneticPr fontId="14" type="noConversion"/>
  </si>
  <si>
    <t>7 GB</t>
  </si>
  <si>
    <t>主机平台</t>
    <phoneticPr fontId="14" type="noConversion"/>
  </si>
  <si>
    <t>操作系统</t>
    <phoneticPr fontId="14" type="noConversion"/>
  </si>
  <si>
    <t>Physical Server</t>
    <phoneticPr fontId="14" type="noConversion"/>
  </si>
  <si>
    <t>Oracle Database 19c Enterprise Edition Version 19.11.0.0.0</t>
    <phoneticPr fontId="14" type="noConversion"/>
  </si>
  <si>
    <t>数据文件总大小</t>
    <phoneticPr fontId="14" type="noConversion"/>
  </si>
  <si>
    <t>集群资源状态</t>
    <phoneticPr fontId="14" type="noConversion"/>
  </si>
  <si>
    <t>OCR状态</t>
    <phoneticPr fontId="14" type="noConversion"/>
  </si>
  <si>
    <t>ASM磁盘组使用率</t>
    <phoneticPr fontId="14" type="noConversion"/>
  </si>
  <si>
    <t>数据库集群</t>
    <phoneticPr fontId="14" type="noConversion"/>
  </si>
  <si>
    <t>DataGuard</t>
    <phoneticPr fontId="14" type="noConversion"/>
  </si>
  <si>
    <t>数据库备份</t>
    <phoneticPr fontId="14" type="noConversion"/>
  </si>
  <si>
    <t>数据库安全</t>
    <phoneticPr fontId="14" type="noConversion"/>
  </si>
  <si>
    <t>主机系统</t>
    <phoneticPr fontId="14" type="noConversion"/>
  </si>
  <si>
    <t>数据库分析</t>
    <phoneticPr fontId="14" type="noConversion"/>
  </si>
  <si>
    <t>软件使用</t>
    <phoneticPr fontId="14" type="noConversion"/>
  </si>
  <si>
    <t>实例分析</t>
    <phoneticPr fontId="14" type="noConversion"/>
  </si>
  <si>
    <t>数据库性能</t>
    <phoneticPr fontId="14" type="noConversion"/>
  </si>
  <si>
    <t>数据库大小
(已使用GB)</t>
    <phoneticPr fontId="14" type="noConversion"/>
  </si>
  <si>
    <t>是否归档</t>
    <phoneticPr fontId="14" type="noConversion"/>
  </si>
  <si>
    <t xml:space="preserve"> Result</t>
    <phoneticPr fontId="14" type="noConversion"/>
  </si>
  <si>
    <t>Check Item</t>
    <phoneticPr fontId="14" type="noConversion"/>
  </si>
  <si>
    <t>RPM安全漏洞包</t>
    <phoneticPr fontId="14" type="noConversion"/>
  </si>
  <si>
    <t>ZEROCONF路由</t>
    <phoneticPr fontId="14" type="noConversion"/>
  </si>
  <si>
    <t>CPU性能模式</t>
    <phoneticPr fontId="14" type="noConversion"/>
  </si>
  <si>
    <t>lo网卡MTU</t>
    <phoneticPr fontId="14" type="noConversion"/>
  </si>
  <si>
    <t>NSSwitch配置</t>
    <phoneticPr fontId="14" type="noConversion"/>
  </si>
  <si>
    <t>数据文件状态</t>
    <phoneticPr fontId="14" type="noConversion"/>
  </si>
  <si>
    <t>控制文件冗余</t>
    <phoneticPr fontId="14" type="noConversion"/>
  </si>
  <si>
    <t>SEQUENCE设置</t>
    <phoneticPr fontId="14" type="noConversion"/>
  </si>
  <si>
    <t>SEQUENCE使用</t>
    <phoneticPr fontId="14" type="noConversion"/>
  </si>
  <si>
    <t>无效对象</t>
    <phoneticPr fontId="14" type="noConversion"/>
  </si>
  <si>
    <t>索引失效</t>
    <phoneticPr fontId="14" type="noConversion"/>
  </si>
  <si>
    <t>用户临期</t>
    <phoneticPr fontId="14" type="noConversion"/>
  </si>
  <si>
    <t>DBA权限用户</t>
    <phoneticPr fontId="14" type="noConversion"/>
  </si>
  <si>
    <t>SYSDBA权限用户</t>
    <phoneticPr fontId="14" type="noConversion"/>
  </si>
  <si>
    <t>数据库审计空间</t>
    <phoneticPr fontId="14" type="noConversion"/>
  </si>
  <si>
    <t>数据库审计对象</t>
    <phoneticPr fontId="14" type="noConversion"/>
  </si>
  <si>
    <t>业务使用系统表空间</t>
    <phoneticPr fontId="14" type="noConversion"/>
  </si>
  <si>
    <t>错误口令登录锁定</t>
    <phoneticPr fontId="14" type="noConversion"/>
  </si>
  <si>
    <t>病毒勒索攻击隐患</t>
    <phoneticPr fontId="14" type="noConversion"/>
  </si>
  <si>
    <t>SCNHealthCheck</t>
    <phoneticPr fontId="14" type="noConversion"/>
  </si>
  <si>
    <t>RMAN备份</t>
    <phoneticPr fontId="14" type="noConversion"/>
  </si>
  <si>
    <t>OCR备份</t>
    <phoneticPr fontId="14" type="noConversion"/>
  </si>
  <si>
    <t>ASM磁盘偏移</t>
    <phoneticPr fontId="14" type="noConversion"/>
  </si>
  <si>
    <t>PROFILE密码函数</t>
    <phoneticPr fontId="14" type="noConversion"/>
  </si>
  <si>
    <t>临时表空间文件</t>
    <phoneticPr fontId="14" type="noConversion"/>
  </si>
  <si>
    <t>数据库当前使用</t>
    <phoneticPr fontId="14" type="noConversion"/>
  </si>
  <si>
    <t>REDO文件</t>
    <phoneticPr fontId="14" type="noConversion"/>
  </si>
  <si>
    <t>归档切换</t>
    <phoneticPr fontId="14" type="noConversion"/>
  </si>
  <si>
    <t>闪回区使用</t>
    <phoneticPr fontId="14" type="noConversion"/>
  </si>
  <si>
    <t>数据库日志</t>
    <phoneticPr fontId="14" type="noConversion"/>
  </si>
  <si>
    <t>DG同步延迟</t>
    <phoneticPr fontId="14" type="noConversion"/>
  </si>
  <si>
    <t>DG同步报错</t>
    <phoneticPr fontId="14" type="noConversion"/>
  </si>
  <si>
    <t>闪回区空间</t>
    <phoneticPr fontId="14" type="noConversion"/>
  </si>
  <si>
    <t>游标&gt;300M</t>
    <phoneticPr fontId="14" type="noConversion"/>
  </si>
  <si>
    <t>最大资源使用</t>
    <phoneticPr fontId="14" type="noConversion"/>
  </si>
  <si>
    <t>报告日期:2006-01-01</t>
    <phoneticPr fontId="14" type="noConversion"/>
  </si>
  <si>
    <t xml:space="preserve">客户:   </t>
    <phoneticPr fontId="14" type="noConversion"/>
  </si>
  <si>
    <t>健康检查报告</t>
    <phoneticPr fontId="14" type="noConversion"/>
  </si>
  <si>
    <t>共享池使用率</t>
    <phoneticPr fontId="14" type="noConversion"/>
  </si>
  <si>
    <t>SGA内存使用</t>
    <phoneticPr fontId="14" type="noConversion"/>
  </si>
  <si>
    <t>APC2DB</t>
    <phoneticPr fontId="14" type="noConversion"/>
  </si>
  <si>
    <t xml:space="preserve">客户:     </t>
  </si>
  <si>
    <t>报告日期: 2025-09-11</t>
  </si>
  <si>
    <t>wewinpri</t>
  </si>
  <si>
    <t>10.20.17.81</t>
  </si>
  <si>
    <t>Linux.NAME="Kylin Linux Advanced Server"</t>
  </si>
  <si>
    <t>Intel(R) Core(TM) i5-10210U CPU @ 1.60GHz 2</t>
  </si>
  <si>
    <t>6 GB</t>
  </si>
  <si>
    <t>Virtual Machine (oracle)</t>
  </si>
  <si>
    <t>wewin</t>
  </si>
  <si>
    <t>select product||'Version '||version_full from product_component_version
                            *
ERROR at line 1:
ORA-00904: "VERSION_FULL": invalid identifier</t>
  </si>
  <si>
    <t>AMERICAN_AMERICA.WE8MSWIN1252</t>
  </si>
  <si>
    <t>2GB</t>
  </si>
  <si>
    <t>NODE1</t>
  </si>
  <si>
    <t>2111.998</t>
  </si>
  <si>
    <t>fs.file-max                    = 6815744
fs.aio-max-nr                  = 1048576
kernel.shmmni                  = 4096
kernel.shmmax                  = 3505899520
kernel.shmall                  = 2097152
kernel.sem                     = 250	32000	100	128
kernel.panic_on_oops           = 1
kernel.randomize_va_space      = 2
kernel.numa_balancing          = 0
net.ipv4.conf.all.rp_filter    = 1
net.ipv4.conf.default.rp_filter = 1
net.ipv4.ip_local_port_range   = 9000	65500
net.ipv4.ipfrag_high_thresh    = 4194304
net.ipv4.ipfrag_low_thresh     = 3145728
net.ipv4.tcp_keepalive_time    = 7200
net.core.rmem_default          = 262144
net.core.rmem_max              = 4194304
net.core.wmem_default          = 262144
net.core.wmem_max              = 1048576
vm.dirty_ratio                 = 30
vm.dirty_background_ratio      = 10
vm.dirty_expire_centisecs      = 3000
vm.dirty_writeback_centisecs   = 500
vm.swappiness                  = 5
vm.min_free_kbytes             = 204800</t>
  </si>
  <si>
    <t>core file size          (blocks, -c) unlimited
data seg size           (kbytes, -d) unlimited
scheduling priority             (-e) 0
file size               (blocks, -f) unlimited
pending signals                 (-i) 26620
max locked memory       (kbytes, -l) 64
max memory size         (kbytes, -m) unlimited
open files                      (-n) 524288
pipe size            (512 bytes, -p) 8
POSIX message queues     (bytes, -q) 819200
real-time priority              (-r) 0
stack size              (kbytes, -s) 10240
cpu time               (seconds, -t) unlimited
max user processes              (-u) 16384
virtual memory          (kbytes, -v) unlimited
file locks                      (-x) unlimited</t>
  </si>
  <si>
    <t/>
  </si>
  <si>
    <t>Filesystem     Type      Size  Used Avail Use% Mounted on
devtmpfs       devtmpfs  3.3G     0  3.3G   0% /dev
tmpfs          tmpfs     3.0G     0  3.0G   0% /dev/shm
tmpfs          tmpfs     3.3G  8.8M  3.3G   1% /run
tmpfs          tmpfs     3.3G     0  3.3G   0% /sys/fs/cgroup
/dev/sda3      xfs        40G   26G   15G  64% /
tmpfs          tmpfs     3.3G   16K  3.3G   1% /tmp
/dev/sda1      xfs       2.0G  181M  1.9G   9% /boot
tmpfs          tmpfs     669M     0  669M   0% /run/user/0</t>
  </si>
  <si>
    <t>Filesystem     Inodes IUsed IFree IUse% Mounted on
devtmpfs         832K   458  832K    1% /dev
tmpfs            836K     1  836K    1% /dev/shm
tmpfs            836K   698  836K    1% /run
tmpfs            836K    17  836K    1% /sys/fs/cgroup
/dev/sda3         20M  214K   20M    2% /
tmpfs            836K    19  836K    1% /tmp
/dev/sda1        1.0M   340  1.0M    1% /boot
tmpfs            836K     6  836K    1% /run/user/0</t>
  </si>
  <si>
    <t>procs -----------memory---------- ---swap-- -----io---- -system-- ------cpu-----
 r  b   swpd   free   buff  cache   si   so    bi    bo   in   cs us sy id wa st
 0  0      0   3489      2   3049    0    0   947    98  401  449  5 21 62 13  0
 0  0      0   3489      2   3049    0    0     0    36  329  480  1 13 80  6  0
 0  0      0   3489      2   3049    0    0     0     4  305  445  1  7 91  1  0
 2  1      0   3489      2   3049    0    0     0     4  278  401  0 11 89  1  0
 2  1      0   3489      2   3049    0    0     0    16  239  339  1  3 94  2  0</t>
  </si>
  <si>
    <t>total        used        free      shared  buff/cache   available
Mem:           6686         448        3328        1992        2910        3642
Swap:          8191           0        8191
available=3642 MB</t>
  </si>
  <si>
    <t>sar -d 3 2</t>
  </si>
  <si>
    <t>AnonHugePages:         0 kB
always madvise [never]</t>
  </si>
  <si>
    <t>HugePages_Total:       0
HugePages_Free:        0
HugePages_Rsvd:        0
HugePages_Surp:        0
Hugepagesize:       2048 kB
Hugetlb:               0 kB</t>
  </si>
  <si>
    <t>NUMA turned off</t>
  </si>
  <si>
    <t>ntpd|chronyd is running
chrony       741       1  0 09:57 ?        00:00:00 /usr/sbin/chronyd</t>
  </si>
  <si>
    <t>2025-09-09 10:05:25 CST +0800</t>
  </si>
  <si>
    <t>SELinux status:                 disabled
/etc/selinux/config
SELINUX=disabled</t>
  </si>
  <si>
    <t>firewalld/iptables is not running</t>
  </si>
  <si>
    <t>No NIS configuration found in /etc/nsswitch.conf</t>
  </si>
  <si>
    <t>mtu 65536</t>
  </si>
  <si>
    <t>Virtual machine detected - CPU performance mode check skipped</t>
  </si>
  <si>
    <t>NOZEROCONF is not configured</t>
  </si>
  <si>
    <t>ghostscript-9.52-6.ky10.x86_64
samba-client-4.11.12-15.p01.ky10.x86_64
libsmbclient-4.11.12-15.p01.ky10.x86_64
freetype-2.10.2-3.ky10.x86_64
libwbclient-4.11.12-15.p01.ky10.x86_64
freetype-help-2.10.2-3.ky10.noarch
freetype-devel-2.10.2-3.ky10.x86_64
pcp-pmda-samba-4.1.3-13.p04.ky10.x86_64
samba-common-4.11.12-15.p01.ky10.x86_64</t>
  </si>
  <si>
    <t>DB_UNIQUE_NAME   OPEN_MODE  LOG_MODE     PROTECTION_LEVEL     DATABASE_ROLE    SWITCHOVER_STATUS
---------------- ---------- ------------ -------------------- ---------------- ------------------
wewin            READ WRITE ARCHIVELOG   MAXIMUM PERFORMANCE  PRIMARY          FAILED DESTINATION</t>
  </si>
  <si>
    <t>NO</t>
  </si>
  <si>
    <t>8.26GB</t>
  </si>
  <si>
    <t>FILE_CNT DB_FILES_LIMIT
---------- ----------------
         7 200</t>
  </si>
  <si>
    <t>FILE_NAME                                                              STATUS        CUR_GB AUTOEX    MAX_GB
---------------------------------------------------------------------- ------------ ------- ------ ---------
/oradata/wewin/sysaux01.dbf                                            AVAILABLE        .54 YES        32.00
/oradata/wewin/system01.dbf                                            AVAILABLE       4.56 YES        32.00
/oradata/wewin/ts_comp_001.dbf                                         AVAILABLE       1.00 NO           .00
/oradata/wewin/undotbs01.dbf                                           AVAILABLE       1.14 YES        32.00
/oradata/wewin/users01.dbf                                             AVAILABLE        .00 YES        32.00</t>
  </si>
  <si>
    <t>TMP_CNT          GB
-------- -----------
       2         .87</t>
  </si>
  <si>
    <t>1,601</t>
  </si>
  <si>
    <t>TABLESPACE_NAME          MAXEXTEND(GB) ALLOCATED(GB)  USED(GB)  Free(GB) USED_RATE(%)
------------------------ ------------- ------------- --------- --------- ------------
TS_COMP                           1.00          1.00       .01       .99          .98
UNDOTBS1                         32.00          1.14       .03      1.11          .09
SYSTEM                           32.00          4.56      2.08      2.48         6.49
SYSAUX                           32.00           .54       .36       .17         1.14
USERS                            32.00           .00       .00       .00          .00</t>
  </si>
  <si>
    <t>/oradata/wewin/control01.ctl
/oracle/app/oracle/fast_recovery_area/wewin/control02.ctl</t>
  </si>
  <si>
    <t>USERNAME                  ACCOUNT_STATUS   DEFAULT_TABLESPACE   TEMPORARY_TABLESPACE PROFILE
------------------------- ---------------- -------------------- -------------------- ------------
COMPUSER                  OPEN             TS_COMP              TEMP                 DEFAULT
MONITOR                   OPEN             USERS                TEMP                 DEFAULT
OTHER_USER                OPEN             USERS                TEMP                 DEFAULT
QY                        OPEN             USERS                TEMP                 DEFAULT
SOET                      OPEN             SOET                 TEMP                 DEFAULT
SYSADM                    OPEN             SYSTEM               TEMP                 DEFAULT
SYSBENCH                  OPEN             DBTEST               TEMP                 DEFAULT
USER_A                    OPEN             USERS                TEMP                 DEFAULT
USER_A_PROXY              OPEN             USERS                TEMP                 DEFAULT
USER_B                    OPEN             USERS                TEMP                 DEFAULT
USER_C                    OPEN             USERS                TEMP                 DEFAULT
U_TEST10                  OPEN             USERS                TEMP                 DEFAULT
WEWIN                     OPEN             USERS                TEMP                 DEFAULT
YEBTA                     OPEN             YEBTA                TEMP                 DEFAULT</t>
  </si>
  <si>
    <t>OWNER                             GB
------------------------- ----------
COMPUSER                         .01
USER_A                           .00
U_TEST10                         .00
WEWIN                            .00</t>
  </si>
  <si>
    <t>OWNER                      TABLE_CNT
------------------------- ----------
COMPUSER                           1
USER_A                             4
U_TEST10                           1
WEWIN                              1</t>
  </si>
  <si>
    <t>无记录</t>
  </si>
  <si>
    <t>SEQUENCE_OWNER  CNT_LESS_200
--------------- ------------
SYSBENCH                   4
USER_A                     1</t>
  </si>
  <si>
    <t>OPTION                                        VALUE
--------------------------------------------- --------
ASM Proxy Instance                            FALSE
Active Data Guard                             TRUE
Adaptive Execution Plans                      TRUE
Advanced Analytics                            TRUE
Advanced Compression                          TRUE
Advanced Index Compression                    TRUE
Advanced replication                          TRUE
Application Role                              TRUE
Automatic Data Optimization                   TRUE
Automatic Storage Management                  FALSE
Backup Encryption                             TRUE
Basic Compression                             TRUE
Bit-mapped indexes                            TRUE
Block Change Tracking                         TRUE
Block Media Recovery                          TRUE
Cache Fusion Lock Accelerator                 TRUE
Change Data Capture                           TRUE
Coalesce Index                                TRUE
Connection multiplexing                       TRUE
Connection pooling                            TRUE
Cross Transportable Backups                   TRUE
DICOM                                         TRUE
Data Mining                                   TRUE
Data Redaction                                TRUE
Database queuing                              TRUE
Database resource manager                     TRUE
Deferred Segment Creation                     TRUE
Duplexed backups                              TRUE
Enterprise User Security                      TRUE
Exadata Discovery                             TRUE
Export transportable tablespaces              TRUE
Fast-Start Fault Recovery                     TRUE
File Mapping                                  TRUE
Fine-grained Auditing                         TRUE
Fine-grained access control                   TRUE
Flashback Data Archive                        TRUE
Flashback Database                            TRUE
Flashback Table                               TRUE
Global Data Services                          TRUE
Heat Map                                      TRUE
I/O Server                                    FALSE
In-Memory Aggregation                         TRUE
In-Memory Column Store                        TRUE
Incremental backup and recovery               TRUE
Instead-of triggers                           TRUE
Java                                          TRUE
Join index                                    TRUE
Managed Standby                               TRUE
Management Database                           FALSE
Materialized view rewrite                     TRUE
OLAP                                          TRUE
OLAP Window Functions                         TRUE
Objects                                       TRUE
Online Index Build                            TRUE
Online Redefinition                           TRUE
Oracle Data Guard                             TRUE
Oracle Database Vault                         FALSE
Oracle Label Security                         FALSE
Parallel backup and recovery                  TRUE
Parallel execution                            TRUE
Parallel load                                 TRUE
Partitioning                                  TRUE
Plan Stability                                TRUE
Point-in-time tablespace recovery             TRUE
Privilege Analysis                            TRUE
Proxy authentication/authorization            TRUE
Real Application Clusters                     FALSE
Real Application Security                     TRUE
Real Application Testing                      TRUE
Result Cache                                  TRUE
SQL Plan Management                           TRUE
Sample Scan                                   TRUE
SecureFiles Encryption                        TRUE
Server Flash Cache                            TRUE
Snapshot time recovery                        TRUE
Spatial                                       TRUE
Streams Capture                               TRUE
Table Clustering                              TRUE
Transparent Application Failover              TRUE
Transparent Data Encryption                   TRUE
Transparent Sensitive Data Protection         TRUE
Trial Recovery                                TRUE
Unified Auditing                              FALSE
Unused Block Compression                      TRUE
XStream                                       TRUE
Zone Maps                                     TRUE</t>
  </si>
  <si>
    <t>NAME                                                         LAST_USAGE_DATE
------------------------------------------------------------ --------------------
Unified Audit                                                2025-06-13 22:26:28
Traditional Audit                                            2025-06-13 22:26:28
Server Parameter File                                        2025-06-13 22:26:28
SecureFiles (user)                                           2025-06-13 22:26:28
SecureFiles (system)                                         2025-06-13 22:26:28
SQL Tuning Advisor                                           2025-06-13 22:26:28
SQL Plan Directive                                           2025-06-13 22:26:28
Result Cache                                                 2025-06-13 22:26:28
Recovery Area                                                2025-06-13 22:26:28
Real-Time SQL Monitoring                                     2025-06-13 22:26:28
Partitioning (system)                                        2025-06-13 22:26:28
Locally Managed Tablespaces (user)                           2025-06-13 22:26:28
Locally Managed Tablespaces (system)                         2025-06-13 22:26:28
HeapCompression                                              2025-06-13 22:26:28
Duplicate Db from Active Db using BackupSet                  2025-06-13 22:26:28
Deferred Segment Creation                                    2025-06-13 22:26:28
Character Set                                                2025-06-13 22:26:28
Automatic Undo Management                                    2025-06-13 22:26:28
Automatic Segment Space Management (user)                    2025-06-13 22:26:28
Automatic Segment Space Management (system)                  2025-06-13 22:26:28
Automatic SQL Tuning Advisor                                 2025-06-13 22:26:28
Automatic SQL Execution Memory                               2025-06-13 22:26:28
Automatic SGA Tuning                                         2025-06-13 22:26:28
Automatic Reoptimization                                     2025-06-13 22:26:28
Automatic Maintenance - Space Advisor                        2025-06-13 22:26:28
Automatic Maintenance - SQL Tuning Advisor                   2025-06-13 22:26:28
Automatic Maintenance - Optimizer Statistics Gathering       2025-06-13 22:26:28
Advanced Index Compression                                   2025-06-13 22:26:28
Adaptive Plans                                               2025-06-13 22:26:28</t>
  </si>
  <si>
    <t>USERNAME                       EXPIRY_DATE
------------------------------ -------------------
COMPUSER                       2025-04-16 12:15:25
YEBTA                          2025-04-09 20:00:06
SOET                           2025-03-08 18:11:36
QY                             2025-05-06 08:47:38
OTHER_USER                     2025-04-09 20:23:21
MONITOR                        2025-05-07 10:31:34
WEWIN                          2025-05-06 09:00:09</t>
  </si>
  <si>
    <t>PROFILE              LIMIT
-------------------- ------------------------------
DEFAULT              NULL</t>
  </si>
  <si>
    <t>GRANTEE                   GRANTED_ROLE    ADMIN_OPTION
------------------------- --------------- ---------------
USER_A                    DBA             NO
YEBTA                     DBA             NO
OTHER_USER                DBA             NO
COMPUSER                  DBA             NO
QY                        DBA             NO
WEWIN                     DBA             NO</t>
  </si>
  <si>
    <t>AUDCNT
-------------
            0</t>
  </si>
  <si>
    <t>--------------------------------------------------------------
ScnHealthCheck
--------------------------------------------------------------
Current Date: 2025/09/09 10:06:04
Current SCN:   2676741
Version:       12.1.0.2.0
--------------------------------------------------------------
Result: A - SCN Headroom is good
Apply the latest recommended patches
based on your maintenance schedule
For further information review MOS document id 1393363.1
--------------------------------------------------------------</t>
  </si>
  <si>
    <t>SQL_ID        SQL_TEXT                                                 ELAPSED_SECONDS       EXECUTIONS Ela(s)_per Cpu(s)_per
------------- ------------------------------------------------------- ---------------- ---------------- ---------- ----------
b9p45hkcx0pwh select dbms_qopatch.get_opatch_lsinventory() from dual                26                1      25.63        .55
c3hf67suvpu8c SELECT       D.TABLESPACE_NAME,       MAX_SPACE "MAXEXT               23                1       23.4       3.78
              END(GB)",       SPACE "AL
20x4skzx6dbjm INSERT INTO OPATCH_XINV_TAB(XML_INVENTORY) SELECT * FRO               21                1      20.77        .37
              M OPATCH_XML_INV
2xucgknahj256 DECLARE job BINARY_INTEGER := :job;  next_date TIMESTAM               14                1      13.86        .95
              P WITH TIME ZONE := :myda
cvn54b7yz0s8u select /*+ index(idl_ub1$ i_idl_ub11) +*/ piece#,length               14              184        .07          0
              ,piece from idl_ub1$ wher</t>
  </si>
  <si>
    <t>SGA_MAX_SIZE(G) SGA_TARGET(G) SHARED_POOL_SIZE(G) SHARED_POOL_FREE(G) CACHE_SIZE(G)
--------------- ------------- ------------------- ------------------- -------------
           1.94          1.94                 .41                 .16          1.34</t>
  </si>
  <si>
    <t>SHARED_POOL_USAGE_PCT(%)
------------------------
                      14</t>
  </si>
  <si>
    <t>RESOURCE_NAME             CURRENT_UTILIZATION  MAX_UTILIZATION LIMIT_VALUE
------------------------- ------------------- ---------------- ---------------
processes                                  50               75        300
sessions                                   55               89        472
ges_procs                                   0                0          0
ges_rsv_msgs                                0                0          0
parallel_max_servers                        8                8      32767</t>
  </si>
  <si>
    <t>There are no Interim patches installed in this Oracle Home "/oracle/app/oracle/product/12c/db_1".</t>
  </si>
  <si>
    <t>PARAMETER
--------------------------------------------------------------------------------------------------------------------------------------------
background_dump_dest = /oracle/app/oracle/product/12c/db_1/rdbms/log
control_file_record_keep_time = 7
db_cache_size = 0
db_file_name_convert = /oradata/wewinsty, /oradata/wewin
db_files = 200
deferred_segment_creation = TRUE
event =
fal_server = wewinsty
log_archive_config = DG_CONFIG=(wewin,wewinsty)
log_archive_dest_1 = LOCATION=/archive VALID_FOR=(ALL_LOGFILES,ALL_ROLES) DB_UNIQUE_NAME=wewin
log_archive_dest_2 = SERVICE=wewinsty LGWR ASYNC VALID_FOR=(ONLINE_LOGFILES,PRIMARY_ROLE) DB_UNIQUE_NAME=wewinsty
log_archive_dest_3 =
log_archive_dest_4 =
log_archive_dest_state_1 = enable
log_archive_dest_state_2 = ENABLE
log_archive_dest_state_3 = enable
log_archive_dest_state_4 = enable
log_file_name_convert = /oradata/wewinsty, /oradata/wewin
max_dump_file_size = unlimited
memory_max_target = 0
memory_target = 0
parallel_force_local = FALSE
parallel_max_servers = 80
pga_aggregate_target = 692060160
processes = 300
session_cached_cursors = 50
sga_max_size = 2080374784
sga_target = 2080374784
shared_pool_size = 0
streams_pool_size = 0
undo_retention = 900
user_dump_dest = /oracle/app/oracle/product/12c/db_1/rdbms/log</t>
  </si>
  <si>
    <t>/tmp/eav2/20250909_wewinpri/20250909_wewinpri.wewin.ora</t>
  </si>
  <si>
    <t>GROUP# THREAD#                  SEQUENCE#         MB ARCHIVED   STATUS
------ ------- -------------------------- ---------- ---------- --------------------------------
     1       1                        937       50.0 YES        INACTIVE
     2       1                        938       50.0 NO         CURRENT
     3       1                        936       50.0 YES        INACTIVE</t>
  </si>
  <si>
    <t>NAME                                               LIMIT_GB     USED_GB USED_PERCENT(%)
--------------------------------------------- ------------- ----------- ---------------
/oracle/app/oracle/fast_recovery_area                  4.70         .00               0</t>
  </si>
  <si>
    <t>FILE_TYPE                                PERCENT_SPACE_RECLAIMABLE PERCENT_SPACE_USED
---------------------------------------- ------------------------- ------------------
CONTROL FILE                                                     0                  0
REDO LOG                                                         0                  0
ARCHIVED LOG                                                     0                  0
BACKUP PIECE                                                     0                  0
IMAGE COPY                                                       0                  0
FLASHBACK LOG                                                    0                  0
FOREIGN ARCHIVED LOG                                             0                  0
AUXILIARY DATAFILE COPY                                          0                  0</t>
  </si>
  <si>
    <t>no rows selected</t>
  </si>
  <si>
    <t>THREAD# Last Primary Seq Generated
---------- --------------------------
         1                        937</t>
  </si>
  <si>
    <t>严重</t>
  </si>
  <si>
    <t>问题: wewinpri主机,randomize_va_space参数当前值2不等于期望值0,
建议: 设置randomize_va_space=0</t>
  </si>
  <si>
    <t>问题: wewin数据库,未发现RMAN备份记录,
建议: 确认是否有其他有效备份,尽快部署RMAN备份策略</t>
  </si>
  <si>
    <t>问题: wewinpri主机,swappiness参数当前值5大于阈值1,
建议: 设置swappiness=1</t>
  </si>
  <si>
    <t>资源限制</t>
  </si>
  <si>
    <t>问题: wewinpri主机,memlock限制当前值64不等于期望值-1,
建议: 设置memlock=-1</t>
  </si>
  <si>
    <t>问题: wewinpri主机,可用内存当前3642 MB小于阈值4096 MB,
建议: 增加内存或优化内存使用</t>
  </si>
  <si>
    <t>主机大页检查</t>
  </si>
  <si>
    <t>问题: wewinpri主机,未配置大页内存,
建议: 根据数据库SGA大小配置适当的大页内存</t>
  </si>
  <si>
    <t>NSSwitch配置检查</t>
  </si>
  <si>
    <t>问题: wewinpri主机,NSSwitch配置中发现NIS配置,
建议: 移除NIS配置以提升系统安全性</t>
  </si>
  <si>
    <t>lo网卡MTU检查</t>
  </si>
  <si>
    <t>问题: wewinpri主机,LO网卡MTU值当前为65536,超过16384,
建议: 调整为16384或更小值以提升网络性能</t>
  </si>
  <si>
    <t>ZEROCONF路由检查</t>
  </si>
  <si>
    <t>问题: wewinpri主机,NOZEROCONF未配置或未明确配置,
建议: 设置NOZEROCONF=yes以提升网络安全性</t>
  </si>
  <si>
    <t>安全漏洞RPM包检查</t>
  </si>
  <si>
    <t>问题: wewinpri主机,检测到安装了存在安全风险的RPM包
ghostscript-9.52-6.ky10.x86_64
samba-client-4.11.12-15.p01.ky10.x86_64
libsmbclient-4.11.12-15.p01.ky10.x86_64
freetype-2.10.2-3.ky10.x86_64
libwbclient-4.11.12-15.p01.ky10.x86_64
freetype-help-2.10.2-3.ky10.noarch
freetype-devel-2.10.2-3.ky10.x86_64
pcp-pmda-samba-4.1.3-13.p04.ky10.x86_64
samba-common-4.11.12-15.p01.ky10.x86_64,
建议: 移除存在安全隐患的RPM包以提升系统安全性</t>
  </si>
  <si>
    <t>问题: wewinpri主机,sem参数总信号量当前32000小于阈值[250 256000 100 1024],
建议: 调整sem参数</t>
  </si>
  <si>
    <t>序列最大值使用检查</t>
  </si>
  <si>
    <t>问题: wewin数据库,SEQUENCE SYSBENCH 当前值达到最大值限制的80%,
建议: 尽快修改</t>
  </si>
  <si>
    <t>监听状态及日志检查</t>
  </si>
  <si>
    <t>问题: wewin实例,未检测到监听,
建议: 核查监听是否正常运行</t>
  </si>
  <si>
    <t>数据库用户临期检查</t>
  </si>
  <si>
    <t>问题: wewin数据库,存在密码即将过期的用户,
建议: 提前更新用户密码</t>
  </si>
  <si>
    <t>数据库PSU补丁集检查</t>
  </si>
  <si>
    <t>问题: wewin实例,未安装PSU或RU,
建议: 生产系统定期安装和更新PSU或RU</t>
  </si>
  <si>
    <t>问题: wewinpri主机,ipfrag_high_thresh参数当前值4194304小于阈值16777216,
建议: 设置ipfrag_high_thresh=16777216</t>
  </si>
  <si>
    <t>问题: wewinpri主机,ipfrag_low_thresh参数当前值3145728小于阈值15728640,
建议: 设置ipfrag_low_thresh=15728640</t>
  </si>
  <si>
    <t>SEQUENCE序列设置检查</t>
  </si>
  <si>
    <t>问题: wewin数据库,序列 SYSBENCH cache 4 小于 400,
建议: 设置CACHE为400或以上并使用NOORDER</t>
  </si>
  <si>
    <t>REDO文件检查</t>
  </si>
  <si>
    <t>wewin实例,REDO文件1大小50.0MB小于阈值200.0MB,
建议: 生产环境每个redo文件在200M-4G之间</t>
  </si>
  <si>
    <t>PROFILE密码复杂性验证</t>
  </si>
  <si>
    <t>问题: wewin数据库,存在未设置密码复杂性校验的PROFILE,
建议: 启用密码复杂性验证以增强安全性</t>
  </si>
  <si>
    <t>具有DBA权限的账户检查</t>
  </si>
  <si>
    <t>问题: wewin数据库,存在6个DBA权限账户,
建议: 只保留一个DBA账户，收回其他DBA用户权限以增强安全性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</si>
</sst>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7" formatCode="&quot;$&quot;#,##0.00_);\(&quot;$&quot;#,##0.00\)"/>
    <numFmt numFmtId="44" formatCode="_(&quot;$&quot;* #,##0.00_);_(&quot;$&quot;* \(#,##0.00\);_(&quot;$&quot;* &quot;-&quot;??_);_(@_)"/>
    <numFmt numFmtId="176" formatCode="0.00_);[Red]\(0.00\)"/>
  </numFmts>
  <fonts count="47">
    <font>
      <sz val="11"/>
      <color theme="3"/>
      <name val="Corbel"/>
      <family val="2"/>
      <scheme val="minor"/>
    </font>
    <font>
      <sz val="11"/>
      <color theme="1"/>
      <name val="Corbel"/>
      <family val="2"/>
      <scheme val="minor"/>
    </font>
    <font>
      <sz val="11"/>
      <color theme="1"/>
      <name val="Corbel"/>
      <family val="2"/>
      <scheme val="minor"/>
    </font>
    <font>
      <sz val="11"/>
      <color theme="1"/>
      <name val="Corbel"/>
      <family val="2"/>
      <scheme val="minor"/>
    </font>
    <font>
      <b val="1"/>
      <sz val="12"/>
      <color theme="3"/>
      <name val="Corbel"/>
      <family val="2"/>
      <scheme val="minor"/>
    </font>
    <font>
      <sz val="20"/>
      <color theme="1"/>
      <name val="Impact"/>
      <family val="2"/>
      <scheme val="major"/>
    </font>
    <font>
      <sz val="11"/>
      <color theme="3"/>
      <name val="Corbel"/>
      <family val="2"/>
      <scheme val="minor"/>
    </font>
    <font>
      <sz val="11"/>
      <color theme="0"/>
      <name val="Corbel"/>
      <family val="2"/>
      <scheme val="minor"/>
    </font>
    <font>
      <sz val="32"/>
      <color theme="1"/>
      <name val="Impact"/>
      <family val="2"/>
      <scheme val="major"/>
    </font>
    <font>
      <sz val="12"/>
      <color theme="1"/>
      <name val="Corbel"/>
      <family val="2"/>
      <scheme val="minor"/>
    </font>
    <font>
      <sz val="11"/>
      <name val="Corbel"/>
      <family val="2"/>
      <scheme val="minor"/>
    </font>
    <font>
      <sz val="32"/>
      <color theme="2" tint="-0.499984740745262"/>
      <name val="Impact"/>
      <family val="2"/>
      <scheme val="major"/>
    </font>
    <font>
      <b val="1"/>
      <sz val="18"/>
      <color theme="2" tint="-0.499984740745262"/>
      <name val="Corbel"/>
      <family val="2"/>
      <scheme val="minor"/>
    </font>
    <font>
      <b val="1"/>
      <sz val="12"/>
      <color theme="1"/>
      <name val="Corbel"/>
      <family val="2"/>
      <scheme val="minor"/>
    </font>
    <font>
      <sz val="9"/>
      <name val="宋体"/>
      <family val="3"/>
      <charset val="134"/>
      <scheme val="minor"/>
    </font>
    <font>
      <b val="1"/>
      <sz val="36"/>
      <color theme="1"/>
      <name val="Impact"/>
      <family val="2"/>
    </font>
    <font>
      <b val="1"/>
      <sz val="36"/>
      <color theme="1"/>
      <name val="等线"/>
      <family val="2"/>
      <charset val="134"/>
    </font>
    <font>
      <sz val="32"/>
      <color theme="2" tint="-0.499984740745262"/>
      <name val="Impact"/>
      <family val="2"/>
    </font>
    <font>
      <sz val="11"/>
      <color theme="3"/>
      <name val="宋体"/>
      <family val="2"/>
      <charset val="134"/>
    </font>
    <font>
      <b val="1"/>
      <sz val="12"/>
      <color theme="1"/>
      <name val="微软雅黑"/>
      <family val="2"/>
      <charset val="134"/>
      <scheme val="minor"/>
    </font>
    <font>
      <b val="1"/>
      <sz val="12"/>
      <color theme="1"/>
      <name val="宋体"/>
      <family val="2"/>
      <charset val="134"/>
    </font>
    <font>
      <sz val="11"/>
      <color theme="1"/>
      <name val="Microsoft YaHei Light"/>
      <family val="2"/>
      <charset val="134"/>
    </font>
    <font>
      <sz val="11"/>
      <color theme="3"/>
      <name val="Microsoft YaHei Light"/>
      <family val="2"/>
      <charset val="134"/>
    </font>
    <font>
      <b val="1"/>
      <sz val="11"/>
      <color theme="3"/>
      <name val="Microsoft YaHei Light"/>
      <family val="2"/>
      <charset val="134"/>
    </font>
    <font>
      <sz val="32"/>
      <color theme="6"/>
      <name val="Impact"/>
      <family val="2"/>
    </font>
    <font>
      <sz val="11"/>
      <color theme="1"/>
      <name val="Calibri"/>
      <family val="2"/>
    </font>
    <font>
      <sz val="9"/>
      <color theme="1"/>
      <name val="Microsoft YaHei Light"/>
      <family val="2"/>
      <charset val="134"/>
    </font>
    <font>
      <b val="1"/>
      <sz val="12"/>
      <color theme="0"/>
      <name val="宋体"/>
      <family val="2"/>
      <charset val="134"/>
    </font>
    <font>
      <sz val="8"/>
      <color theme="1"/>
      <name val="Cascadia Code Light"/>
      <family val="3"/>
    </font>
    <font>
      <sz val="9"/>
      <color rgb="FF0066FF"/>
      <name val="Corbel"/>
      <family val="2"/>
      <scheme val="minor"/>
    </font>
    <font>
      <sz val="9"/>
      <color rgb="FF0066FF"/>
      <name val="Microsoft YaHei Light"/>
      <family val="2"/>
      <charset val="134"/>
    </font>
    <font>
      <sz val="10"/>
      <color theme="1"/>
      <name val="Calibri"/>
      <family val="2"/>
    </font>
    <font>
      <sz val="12"/>
      <color theme="1"/>
      <name val="等线"/>
      <family val="3"/>
      <charset val="134"/>
    </font>
    <font>
      <sz val="12"/>
      <color theme="0"/>
      <name val="等线"/>
      <family val="3"/>
      <charset val="134"/>
    </font>
    <font>
      <b val="1"/>
      <sz val="11"/>
      <color theme="0"/>
      <name val="等线"/>
      <family val="3"/>
      <charset val="134"/>
    </font>
    <font>
      <sz val="12"/>
      <color theme="1"/>
      <name val="Cascadia Code Light"/>
      <family val="3"/>
    </font>
    <font>
      <sz val="11"/>
      <color theme="0"/>
      <name val="等线"/>
      <family val="3"/>
      <charset val="134"/>
    </font>
    <font>
      <b val="1"/>
      <sz val="12"/>
      <color theme="0"/>
      <name val="等线"/>
      <family val="3"/>
      <charset val="134"/>
    </font>
    <font>
      <u/>
      <sz val="10"/>
      <color theme="3"/>
      <name val="仿宋"/>
      <family val="3"/>
      <charset val="134"/>
    </font>
    <font>
      <sz val="7"/>
      <color theme="1"/>
      <name val="Cascadia Code Light"/>
      <family val="3"/>
    </font>
    <font>
      <u/>
      <sz val="9"/>
      <color theme="1"/>
      <name val="Microsoft YaHei Light"/>
      <family val="2"/>
      <charset val="134"/>
    </font>
    <font>
      <sz val="11"/>
      <color theme="3"/>
      <name val="宋体"/>
      <family val="3"/>
      <charset val="134"/>
      <scheme val="minor"/>
    </font>
    <font>
      <sz val="11"/>
      <color theme="7" tint="0.7999816888943144"/>
      <name val="Corbel"/>
      <family val="2"/>
    </font>
    <font>
      <sz val="11"/>
      <color theme="1"/>
      <name val="Corbel"/>
      <family val="2"/>
    </font>
    <font>
      <u/>
      <sz val="9"/>
      <color theme="1"/>
      <name val="仿宋"/>
      <family val="3"/>
      <charset val="134"/>
    </font>
    <font>
      <sz val="10"/>
      <color theme="3"/>
      <name val="Cascadia Code Light"/>
      <family val="3"/>
    </font>
    <font>
      <sz val="8"/>
      <color/>
      <name val="Cascadia Code Light"/>
      <family val="2"/>
    </font>
  </fonts>
  <fills count="12">
    <fill>
      <patternFill patternType="none"/>
    </fill>
    <fill>
      <patternFill patternType="gray125"/>
    </fill>
    <fill>
      <patternFill patternType="solid">
        <fgColor theme="0"/>
        <bgColor indexed="64"/>
      </patternFill>
    </fill>
    <fill>
      <patternFill patternType="solid">
        <fgColor theme="7" tint="0.7999816888943144"/>
        <bgColor indexed="65"/>
      </patternFill>
    </fill>
    <fill>
      <patternFill patternType="solid">
        <fgColor rgb="FFEAEAEA"/>
        <bgColor indexed="64"/>
      </patternFill>
    </fill>
    <fill>
      <patternFill patternType="solid">
        <fgColor theme="0" tint="-0.0499893185216834"/>
        <bgColor indexed="64"/>
      </patternFill>
    </fill>
    <fill>
      <patternFill patternType="solid">
        <fgColor theme="0" tint="-0.0499893185216834"/>
        <bgColor theme="0" tint="-0.14993743705557422"/>
      </patternFill>
    </fill>
    <fill>
      <patternFill patternType="solid">
        <fgColor theme="1" tint="0.499984740745262"/>
        <bgColor indexed="64"/>
      </patternFill>
    </fill>
    <fill>
      <patternFill patternType="solid">
        <fgColor rgb="FF555555"/>
      </patternFill>
    </fill>
    <fill>
      <patternFill patternType="solid">
        <fgColor rgb="FF00B0F0"/>
      </patternFill>
    </fill>
    <fill>
      <patternFill patternType="solid">
        <fgColor rgb="FFEBA8A5"/>
      </patternFill>
    </fill>
    <fill>
      <patternFill patternType="solid">
        <fgColor rgb="FFB3DEE3"/>
      </patternFill>
    </fill>
  </fills>
  <borders count="31">
    <border>
      <left/>
      <right/>
      <top/>
      <bottom/>
      <diagonal/>
    </border>
    <border>
      <left/>
      <right/>
      <top style="thick">
        <color theme="2" tint="-0.499984740745262"/>
      </top>
      <bottom/>
      <diagonal/>
    </border>
    <border>
      <left/>
      <right/>
      <top/>
      <bottom style="thick">
        <color theme="2" tint="-0.499984740745262"/>
      </bottom>
      <diagonal/>
    </border>
    <border>
      <left/>
      <right/>
      <top style="dotted">
        <color theme="2" tint="-0.499984740745262"/>
      </top>
      <bottom style="dotted">
        <color theme="2" tint="-0.499984740745262"/>
      </bottom>
      <diagonal/>
    </border>
    <border>
      <left style="thin">
        <color rgb="FF000000"/>
      </left>
      <right style="thin">
        <color rgb="FF000000"/>
      </right>
      <top style="thin">
        <color rgb="FF000000"/>
      </top>
      <bottom style="thin">
        <color rgb="FF000000"/>
      </bottom>
      <diagonal/>
    </border>
    <border>
      <left/>
      <right/>
      <top style="dotted">
        <color theme="2" tint="-0.499984740745262"/>
      </top>
      <bottom/>
      <diagonal/>
    </border>
    <border>
      <left/>
      <right/>
      <top/>
      <bottom style="hair">
        <color theme="1" tint="0.3499862666707358"/>
      </bottom>
      <diagonal/>
    </border>
    <border>
      <left/>
      <right/>
      <top style="hair">
        <color theme="1" tint="0.3499862666707358"/>
      </top>
      <bottom style="hair">
        <color theme="1" tint="0.3499862666707358"/>
      </bottom>
      <diagonal/>
    </border>
    <border>
      <left/>
      <right/>
      <top style="hair">
        <color theme="1" tint="0.3499862666707358"/>
      </top>
      <bottom style="thick">
        <color theme="2" tint="-0.499984740745262"/>
      </bottom>
      <diagonal/>
    </border>
    <border>
      <left style="thin">
        <color theme="6"/>
      </left>
      <right style="thin">
        <color theme="6"/>
      </right>
      <top/>
      <bottom style="hair">
        <color indexed="64"/>
      </bottom>
      <diagonal/>
    </border>
    <border>
      <left/>
      <right/>
      <top style="thick">
        <color theme="2" tint="-0.499984740745262"/>
      </top>
      <bottom style="dotted">
        <color theme="2" tint="-0.499984740745262"/>
      </bottom>
      <diagonal/>
    </border>
    <border>
      <left/>
      <right/>
      <top/>
      <bottom style="thin">
        <color theme="0" tint="-0.1499984740745262"/>
      </bottom>
      <diagonal/>
    </border>
    <border>
      <left/>
      <right style="thin">
        <color theme="6"/>
      </right>
      <top/>
      <bottom style="hair">
        <color indexed="64"/>
      </bottom>
      <diagonal/>
    </border>
    <border>
      <left style="thin">
        <color theme="6"/>
      </left>
      <right style="thin">
        <color theme="6"/>
      </right>
      <top/>
      <bottom style="thin">
        <color theme="6"/>
      </bottom>
      <diagonal/>
    </border>
    <border>
      <left style="thin">
        <color rgb="FF000000"/>
      </left>
      <right style="thin">
        <color theme="2" tint="-0.249977111117893"/>
      </right>
      <top style="thin">
        <color theme="0" tint="-0.1499984740745262"/>
      </top>
      <bottom style="thin">
        <color theme="6"/>
      </bottom>
      <diagonal/>
    </border>
    <border>
      <left/>
      <right style="thin">
        <color theme="6"/>
      </right>
      <top/>
      <bottom style="thin">
        <color theme="6"/>
      </bottom>
      <diagonal/>
    </border>
    <border>
      <left style="thin">
        <color rgb="FF000000"/>
      </left>
      <right style="thin">
        <color theme="2" tint="-0.249977111117893"/>
      </right>
      <top style="thin">
        <color rgb="FF000000"/>
      </top>
      <bottom style="hair">
        <color indexed="64"/>
      </bottom>
      <diagonal/>
    </border>
    <border>
      <left style="thin">
        <color theme="2" tint="-0.249977111117893"/>
      </left>
      <right style="thin">
        <color theme="6"/>
      </right>
      <top style="hair">
        <color indexed="64"/>
      </top>
      <bottom style="hair">
        <color theme="2" tint="-0.0999786370433668"/>
      </bottom>
      <diagonal/>
    </border>
    <border>
      <left style="thin">
        <color theme="6"/>
      </left>
      <right style="thin">
        <color theme="6"/>
      </right>
      <top style="hair">
        <color indexed="64"/>
      </top>
      <bottom style="hair">
        <color theme="2" tint="-0.0999786370433668"/>
      </bottom>
      <diagonal/>
    </border>
    <border>
      <left style="thin">
        <color rgb="FF000000"/>
      </left>
      <right style="thin">
        <color theme="2" tint="-0.249977111117893"/>
      </right>
      <top style="hair">
        <color indexed="64"/>
      </top>
      <bottom style="hair">
        <color theme="2" tint="-0.0999786370433668"/>
      </bottom>
      <diagonal/>
    </border>
    <border>
      <left style="thin">
        <color theme="2" tint="-0.249977111117893"/>
      </left>
      <right style="thin">
        <color theme="6"/>
      </right>
      <top/>
      <bottom style="hair">
        <color theme="2" tint="-0.0999786370433668"/>
      </bottom>
      <diagonal/>
    </border>
    <border>
      <left style="thin">
        <color rgb="FF000000"/>
      </left>
      <right style="thin">
        <color theme="2" tint="-0.249977111117893"/>
      </right>
      <top/>
      <bottom style="hair">
        <color theme="2" tint="-0.0999786370433668"/>
      </bottom>
      <diagonal/>
    </border>
    <border>
      <left style="thin">
        <color theme="2" tint="-0.249977111117893"/>
      </left>
      <right style="thin">
        <color theme="6"/>
      </right>
      <top style="hair">
        <color theme="2" tint="-0.0999786370433668"/>
      </top>
      <bottom style="hair">
        <color theme="2" tint="-0.499984740745262"/>
      </bottom>
      <diagonal/>
    </border>
    <border>
      <left style="thin">
        <color rgb="FF000000"/>
      </left>
      <right style="thin">
        <color theme="2" tint="-0.249977111117893"/>
      </right>
      <top style="hair">
        <color theme="2" tint="-0.0999786370433668"/>
      </top>
      <bottom style="hair">
        <color theme="2" tint="-0.499984740745262"/>
      </bottom>
      <diagonal/>
    </border>
    <border>
      <left style="thin">
        <color theme="6"/>
      </left>
      <right style="thin">
        <color theme="6"/>
      </right>
      <top style="hair">
        <color theme="2" tint="-0.0999786370433668"/>
      </top>
      <bottom style="hair">
        <color theme="2" tint="-0.499984740745262"/>
      </bottom>
      <diagonal/>
    </border>
    <border>
      <left style="thin">
        <color theme="6"/>
      </left>
      <right style="thin">
        <color theme="6"/>
      </right>
      <top/>
      <bottom style="hair">
        <color theme="2" tint="-0.0999786370433668"/>
      </bottom>
      <diagonal/>
    </border>
    <border>
      <left/>
      <right/>
      <top style="dotted">
        <color theme="2" tint="-0.499984740745262"/>
      </top>
      <bottom style="thin">
        <color indexed="64"/>
      </bottom>
      <diagonal/>
    </border>
    <border>
      <left/>
      <right/>
      <top style="thin">
        <color indexed="64"/>
      </top>
      <bottom/>
      <diagonal/>
    </border>
    <border>
      <left style="thin">
        <color rgb="FF000000"/>
      </left>
      <right style="thin">
        <color theme="2" tint="-0.249977111117893"/>
      </right>
      <top/>
      <bottom/>
      <diagonal/>
    </border>
    <border>
      <left style="thin">
        <color theme="2" tint="-0.249977111117893"/>
      </left>
      <right style="thin">
        <color theme="6"/>
      </right>
      <top/>
      <bottom/>
      <diagonal/>
    </border>
    <border>
      <left style="thin">
        <color theme="6"/>
      </left>
      <right style="thin">
        <color theme="6"/>
      </right>
      <top/>
      <bottom/>
      <diagonal/>
    </border>
  </borders>
  <cellStyleXfs count="20">
    <xf numFmtId="0" fontId="0" fillId="2" borderId="0">
      <alignment vertical="center" wrapText="true"/>
    </xf>
    <xf numFmtId="0" fontId="5" fillId="0" borderId="0" applyNumberFormat="false" applyFill="false" applyProtection="false">
      <alignment horizontal="left" vertical="center"/>
    </xf>
    <xf numFmtId="0" fontId="9" fillId="0" borderId="0" applyNumberFormat="false" applyFill="false" applyBorder="false" applyProtection="false">
      <alignment horizontal="left" wrapText="true"/>
    </xf>
    <xf numFmtId="44" fontId="3" fillId="0" borderId="0" applyFont="false" applyFill="false" applyBorder="false" applyProtection="false">
      <alignment vertical="center"/>
    </xf>
    <xf numFmtId="9" fontId="7" fillId="0" borderId="0" applyFill="false" applyBorder="false" applyProtection="false">
      <alignment horizontal="left" vertical="center"/>
    </xf>
    <xf numFmtId="0" fontId="8" fillId="0" borderId="0" applyNumberFormat="false" applyFill="false" applyBorder="false" applyProtection="false">
      <alignment vertical="center"/>
    </xf>
    <xf numFmtId="0" fontId="7" fillId="0" borderId="0" applyNumberFormat="false" applyFill="false" applyBorder="false" applyAlignment="false">
      <alignment vertical="center"/>
    </xf>
    <xf numFmtId="0" fontId="4" fillId="0" borderId="1" applyNumberFormat="false" applyFill="false" applyProtection="false">
      <alignment horizontal="right" vertical="center"/>
    </xf>
    <xf numFmtId="0" fontId="12" fillId="0" borderId="0" applyNumberFormat="false" applyFill="false" applyBorder="false" applyProtection="false">
      <alignment horizontal="left"/>
    </xf>
    <xf numFmtId="7" fontId="4" fillId="0" borderId="1" applyFill="false" applyAlignment="false" applyProtection="false"/>
    <xf numFmtId="37" fontId="6" fillId="0" borderId="0" applyFont="false" applyFill="false" applyBorder="false" applyProtection="false">
      <alignment horizontal="left" indent="1" vertical="center"/>
    </xf>
    <xf numFmtId="7" fontId="6" fillId="0" borderId="0" applyFont="false" applyFill="false" applyBorder="false" applyProtection="false">
      <alignment horizontal="right" vertical="center"/>
    </xf>
    <xf numFmtId="0" fontId="6" fillId="2" borderId="0" applyNumberFormat="false" applyFont="false" applyFill="false" applyBorder="false">
      <alignment horizontal="center" vertical="center"/>
    </xf>
    <xf numFmtId="0" fontId="6" fillId="2" borderId="0" applyNumberFormat="false" applyFont="false" applyFill="false" applyBorder="false">
      <alignment horizontal="right" vertical="center"/>
    </xf>
    <xf numFmtId="0" fontId="10" fillId="2" borderId="0" applyNumberFormat="false" applyFill="false" applyBorder="false" applyAlignment="false" applyProtection="false">
      <alignment vertical="center" wrapText="true"/>
    </xf>
    <xf numFmtId="0" fontId="10" fillId="2" borderId="0" applyNumberFormat="false" applyFill="false" applyBorder="false" applyAlignment="false" applyProtection="false">
      <alignment vertical="center" wrapText="true"/>
    </xf>
    <xf numFmtId="0" fontId="2" fillId="3" borderId="0" applyNumberFormat="false" applyBorder="false" applyAlignment="false" applyProtection="false"/>
    <xf numFmtId="0" fontId="11" fillId="0" borderId="0">
      <alignment vertical="center"/>
    </xf>
    <xf numFmtId="0" fontId="6" fillId="0" borderId="0" applyNumberFormat="false" applyFill="false" applyBorder="false" applyProtection="false">
      <alignment vertical="center"/>
    </xf>
    <xf numFmtId="0" fontId="25" fillId="0" borderId="0"/>
  </cellStyleXfs>
  <cellXfs count="134">
    <xf numFmtId="0" fontId="0" fillId="2" borderId="0" xfId="0">
      <alignment vertical="center" wrapText="true"/>
    </xf>
    <xf numFmtId="9" fontId="1" fillId="2" borderId="0" xfId="4" applyFont="true" applyFill="true">
      <alignment horizontal="left" vertical="center"/>
    </xf>
    <xf numFmtId="0" fontId="6" fillId="4" borderId="0" xfId="18" applyFill="true" applyAlignment="true">
      <alignment horizontal="right" vertical="center"/>
    </xf>
    <xf numFmtId="0" fontId="5" fillId="4" borderId="0" xfId="1" applyFill="true">
      <alignment horizontal="left" vertical="center"/>
    </xf>
    <xf numFmtId="0" fontId="0" fillId="4" borderId="0" xfId="0" applyFill="true">
      <alignment vertical="center" wrapText="true"/>
    </xf>
    <xf numFmtId="0" fontId="5" fillId="4" borderId="0" xfId="1" applyFill="true" applyAlignment="true">
      <alignment vertical="center"/>
    </xf>
    <xf numFmtId="0" fontId="0" fillId="4" borderId="0" xfId="13" applyFont="true" applyFill="true">
      <alignment horizontal="right" vertical="center"/>
    </xf>
    <xf numFmtId="7" fontId="0" fillId="4" borderId="0" xfId="11" applyFont="true" applyFill="true">
      <alignment horizontal="right" vertical="center"/>
    </xf>
    <xf numFmtId="9" fontId="1" fillId="4" borderId="0" xfId="4" applyFont="true" applyFill="true">
      <alignment horizontal="left" vertical="center"/>
    </xf>
    <xf numFmtId="7" fontId="13" fillId="4" borderId="1" xfId="7" applyNumberFormat="true" applyFont="true" applyFill="true">
      <alignment horizontal="right" vertical="center"/>
    </xf>
    <xf numFmtId="7" fontId="4" fillId="4" borderId="1" xfId="9" applyFill="true" applyAlignment="true">
      <alignment vertical="center" wrapText="true"/>
    </xf>
    <xf numFmtId="0" fontId="18" fillId="4" borderId="0" xfId="13" applyFont="true" applyFill="true">
      <alignment horizontal="right" vertical="center"/>
    </xf>
    <xf numFmtId="0" fontId="0" fillId="4" borderId="0" xfId="18" applyFont="true" applyFill="true" applyAlignment="true">
      <alignment horizontal="center" vertical="center"/>
    </xf>
    <xf numFmtId="9" fontId="1" fillId="4" borderId="0" xfId="4" applyFont="true" applyFill="true" applyAlignment="true">
      <alignment horizontal="center" vertical="center"/>
    </xf>
    <xf numFmtId="0" fontId="0" fillId="2" borderId="0" xfId="0" applyAlignment="true">
      <alignment horizontal="center" vertical="center" wrapText="true"/>
    </xf>
    <xf numFmtId="0" fontId="22" fillId="4" borderId="0" xfId="13" applyFont="true" applyFill="true">
      <alignment horizontal="right" vertical="center"/>
    </xf>
    <xf numFmtId="0" fontId="23" fillId="4" borderId="0" xfId="13" applyFont="true" applyFill="true">
      <alignment horizontal="right" vertical="center"/>
    </xf>
    <xf numFmtId="0" fontId="22" fillId="4" borderId="0" xfId="0" applyFont="true" applyFill="true">
      <alignment vertical="center" wrapText="true"/>
    </xf>
    <xf numFmtId="9" fontId="21" fillId="4" borderId="0" xfId="4" applyFont="true" applyFill="true">
      <alignment horizontal="left" vertical="center"/>
    </xf>
    <xf numFmtId="0" fontId="15" fillId="7" borderId="0" xfId="5" applyFont="true" applyFill="true" applyAlignment="true">
      <alignment horizontal="center" vertical="center"/>
    </xf>
    <xf numFmtId="0" fontId="15" fillId="7" borderId="0" xfId="5" applyFont="true" applyFill="true" applyAlignment="true">
      <alignment horizontal="left" vertical="center"/>
    </xf>
    <xf numFmtId="0" fontId="17" fillId="7" borderId="0" xfId="17" applyFont="true" applyFill="true" applyAlignment="true">
      <alignment horizontal="left" vertical="center"/>
    </xf>
    <xf numFmtId="0" fontId="2" fillId="7" borderId="0" xfId="16" applyFill="true" applyAlignment="true">
      <alignment vertical="center" wrapText="true"/>
    </xf>
    <xf numFmtId="0" fontId="24" fillId="7" borderId="0" xfId="17" applyFont="true" applyFill="true" applyAlignment="true">
      <alignment horizontal="left" vertical="center"/>
    </xf>
    <xf numFmtId="0" fontId="25" fillId="0" borderId="0" xfId="19" applyAlignment="true">
      <alignment horizontal="right" indent="1" justifyLastLine="true" shrinkToFit="true" vertical="center" wrapText="true"/>
    </xf>
    <xf numFmtId="0" fontId="25" fillId="0" borderId="0" xfId="19"/>
    <xf numFmtId="0" fontId="21" fillId="6" borderId="5" xfId="0" applyFont="true" applyFill="true" applyBorder="true" applyAlignment="true">
      <alignment horizontal="left" vertical="center" wrapText="true"/>
    </xf>
    <xf numFmtId="0" fontId="21" fillId="6" borderId="5" xfId="0" applyFont="true" applyFill="true" applyBorder="true" applyAlignment="true">
      <alignment horizontal="left" vertical="center"/>
    </xf>
    <xf numFmtId="0" fontId="21" fillId="6" borderId="5" xfId="0" applyFont="true" applyFill="true" applyBorder="true">
      <alignment vertical="center" wrapText="true"/>
    </xf>
    <xf numFmtId="0" fontId="21" fillId="6" borderId="5" xfId="0" applyFont="true" applyFill="true" applyBorder="true" applyAlignment="true">
      <alignment horizontal="center" vertical="center" wrapText="true"/>
    </xf>
    <xf numFmtId="0" fontId="1" fillId="2" borderId="5" xfId="0" applyFont="true" applyBorder="true" applyAlignment="true">
      <alignment horizontal="center" vertical="center" wrapText="true"/>
    </xf>
    <xf numFmtId="0" fontId="21" fillId="2" borderId="5" xfId="0" applyFont="true" applyBorder="true">
      <alignment vertical="center" wrapText="true"/>
    </xf>
    <xf numFmtId="0" fontId="21" fillId="2" borderId="5" xfId="0" applyFont="true" applyBorder="true" applyAlignment="true">
      <alignment vertical="center"/>
    </xf>
    <xf numFmtId="0" fontId="21" fillId="2" borderId="5" xfId="0" applyFont="true" applyBorder="true" applyAlignment="true">
      <alignment horizontal="center" vertical="center" wrapText="true"/>
    </xf>
    <xf numFmtId="0" fontId="21" fillId="6" borderId="5" xfId="0" applyFont="true" applyFill="true" applyBorder="true" applyAlignment="true">
      <alignment vertical="center"/>
    </xf>
    <xf numFmtId="0" fontId="21" fillId="6" borderId="3" xfId="0" applyFont="true" applyFill="true" applyBorder="true">
      <alignment vertical="center" wrapText="true"/>
    </xf>
    <xf numFmtId="0" fontId="21" fillId="6" borderId="3" xfId="0" applyFont="true" applyFill="true" applyBorder="true" applyAlignment="true">
      <alignment horizontal="center" vertical="center" wrapText="true"/>
    </xf>
    <xf numFmtId="0" fontId="10" fillId="0" borderId="0" xfId="14" applyFill="true" applyAlignment="true">
      <alignment horizontal="right" indent="1" justifyLastLine="true" shrinkToFit="true" vertical="center" wrapText="true"/>
    </xf>
    <xf numFmtId="0" fontId="22" fillId="4" borderId="6" xfId="13" applyFont="true" applyFill="true" applyBorder="true">
      <alignment horizontal="right" vertical="center"/>
    </xf>
    <xf numFmtId="7" fontId="22" fillId="4" borderId="6" xfId="11" applyFont="true" applyFill="true" applyBorder="true">
      <alignment horizontal="right" vertical="center"/>
    </xf>
    <xf numFmtId="0" fontId="22" fillId="4" borderId="7" xfId="13" applyFont="true" applyFill="true" applyBorder="true">
      <alignment horizontal="right" vertical="center"/>
    </xf>
    <xf numFmtId="7" fontId="22" fillId="4" borderId="7" xfId="11" applyFont="true" applyFill="true" applyBorder="true">
      <alignment horizontal="right" vertical="center"/>
    </xf>
    <xf numFmtId="0" fontId="22" fillId="4" borderId="7" xfId="13" applyFont="true" applyFill="true" applyBorder="true" applyAlignment="true">
      <alignment horizontal="right" vertical="center" wrapText="true"/>
    </xf>
    <xf numFmtId="0" fontId="22" fillId="4" borderId="6" xfId="13" applyFont="true" applyFill="true" applyBorder="true" applyAlignment="true">
      <alignment horizontal="right" vertical="center" wrapText="true"/>
    </xf>
    <xf numFmtId="0" fontId="28" fillId="0" borderId="0" xfId="19" applyFont="true" applyAlignment="true">
      <alignment horizontal="left" vertical="top" wrapText="true"/>
    </xf>
    <xf numFmtId="0" fontId="28" fillId="0" borderId="0" xfId="19" applyFont="true" applyAlignment="true">
      <alignment horizontal="left" indent="1" justifyLastLine="true" shrinkToFit="true" vertical="center" wrapText="true"/>
    </xf>
    <xf numFmtId="0" fontId="28" fillId="0" borderId="9" xfId="19" applyFont="true" applyBorder="true" applyAlignment="true">
      <alignment horizontal="left" indent="1" justifyLastLine="true" shrinkToFit="true" vertical="center" wrapText="true"/>
    </xf>
    <xf numFmtId="37" fontId="21" fillId="6" borderId="5" xfId="10" applyFont="true" applyFill="true" applyBorder="true" applyAlignment="true">
      <alignment horizontal="left" vertical="center"/>
    </xf>
    <xf numFmtId="37" fontId="21" fillId="2" borderId="5" xfId="10" applyFont="true" applyFill="true" applyBorder="true" applyAlignment="true">
      <alignment horizontal="left" vertical="center"/>
    </xf>
    <xf numFmtId="37" fontId="21" fillId="6" borderId="3" xfId="10" applyFont="true" applyFill="true" applyBorder="true" applyAlignment="true">
      <alignment horizontal="left" vertical="center"/>
    </xf>
    <xf numFmtId="0" fontId="29" fillId="6" borderId="5" xfId="14" applyFont="true" applyFill="true" applyBorder="true">
      <alignment vertical="center" wrapText="true"/>
    </xf>
    <xf numFmtId="0" fontId="29" fillId="2" borderId="5" xfId="14" applyFont="true" applyBorder="true">
      <alignment vertical="center" wrapText="true"/>
    </xf>
    <xf numFmtId="0" fontId="29" fillId="6" borderId="3" xfId="14" applyFont="true" applyFill="true" applyBorder="true">
      <alignment vertical="center" wrapText="true"/>
    </xf>
    <xf numFmtId="0" fontId="30" fillId="2" borderId="3" xfId="0" applyFont="true" applyBorder="true">
      <alignment vertical="center" wrapText="true"/>
    </xf>
    <xf numFmtId="0" fontId="13" fillId="5" borderId="2" xfId="2" applyFont="true" applyFill="true" applyBorder="true" applyAlignment="true">
      <alignment horizontal="center" vertical="center" wrapText="true"/>
    </xf>
    <xf numFmtId="0" fontId="19" fillId="5" borderId="2" xfId="2" applyFont="true" applyFill="true" applyBorder="true" applyAlignment="true">
      <alignment horizontal="center" vertical="center" wrapText="true"/>
    </xf>
    <xf numFmtId="0" fontId="19" fillId="5" borderId="2" xfId="2" applyFont="true" applyFill="true" applyBorder="true" applyAlignment="true">
      <alignment horizontal="center" vertical="center"/>
    </xf>
    <xf numFmtId="0" fontId="19" fillId="5" borderId="2" xfId="2" applyFont="true" applyFill="true" applyBorder="true" applyAlignment="true">
      <alignment horizontal="left" vertical="center" wrapText="true"/>
    </xf>
    <xf numFmtId="0" fontId="19" fillId="5" borderId="2" xfId="2" applyFont="true" applyFill="true" applyBorder="true" applyAlignment="true">
      <alignment horizontal="left" vertical="center"/>
    </xf>
    <xf numFmtId="0" fontId="20" fillId="5" borderId="2" xfId="2" applyFont="true" applyFill="true" applyBorder="true" applyAlignment="true">
      <alignment horizontal="center" vertical="center" wrapText="true"/>
    </xf>
    <xf numFmtId="0" fontId="27" fillId="5" borderId="2" xfId="2" applyFont="true" applyFill="true" applyBorder="true" applyAlignment="true">
      <alignment horizontal="center" vertical="center" wrapText="true"/>
    </xf>
    <xf numFmtId="0" fontId="31" fillId="0" borderId="0" xfId="19" applyFont="true" applyAlignment="true">
      <alignment horizontal="right" indent="1" justifyLastLine="true" shrinkToFit="true" vertical="center" wrapText="true"/>
    </xf>
    <xf numFmtId="0" fontId="31" fillId="0" borderId="0" xfId="19" applyFont="true"/>
    <xf numFmtId="0" fontId="34" fillId="8" borderId="4" xfId="19" applyFont="true" applyFill="true" applyBorder="true" applyAlignment="true">
      <alignment horizontal="center" justifyLastLine="true" shrinkToFit="true" vertical="center" wrapText="true"/>
    </xf>
    <xf numFmtId="0" fontId="34" fillId="0" borderId="0" xfId="19" applyFont="true"/>
    <xf numFmtId="0" fontId="36" fillId="2" borderId="0" xfId="0" applyFont="true">
      <alignment vertical="center" wrapText="true"/>
    </xf>
    <xf numFmtId="0" fontId="28" fillId="0" borderId="11" xfId="19" applyFont="true" applyBorder="true" applyAlignment="true">
      <alignment horizontal="left" indent="1" justifyLastLine="true" shrinkToFit="true" vertical="center" wrapText="true"/>
    </xf>
    <xf numFmtId="0" fontId="28" fillId="0" borderId="12" xfId="19" applyFont="true" applyBorder="true" applyAlignment="true">
      <alignment horizontal="left" indent="1" justifyLastLine="true" shrinkToFit="true" vertical="center" wrapText="true"/>
    </xf>
    <xf numFmtId="0" fontId="28" fillId="0" borderId="13" xfId="19" applyFont="true" applyBorder="true" applyAlignment="true">
      <alignment horizontal="left" indent="1" justifyLastLine="true" shrinkToFit="true" vertical="center" wrapText="true"/>
    </xf>
    <xf numFmtId="0" fontId="28" fillId="0" borderId="15" xfId="19" applyFont="true" applyBorder="true" applyAlignment="true">
      <alignment horizontal="left" indent="1" justifyLastLine="true" shrinkToFit="true" vertical="center" wrapText="true"/>
    </xf>
    <xf numFmtId="0" fontId="28" fillId="0" borderId="17" xfId="19" applyFont="true" applyBorder="true" applyAlignment="true">
      <alignment horizontal="left" indent="1" justifyLastLine="true" shrinkToFit="true" vertical="center" wrapText="true"/>
    </xf>
    <xf numFmtId="0" fontId="28" fillId="0" borderId="18" xfId="19" applyFont="true" applyBorder="true" applyAlignment="true">
      <alignment horizontal="left" indent="1" justifyLastLine="true" shrinkToFit="true" vertical="center" wrapText="true"/>
    </xf>
    <xf numFmtId="0" fontId="28" fillId="0" borderId="20" xfId="19" applyFont="true" applyBorder="true" applyAlignment="true">
      <alignment horizontal="left" indent="1" justifyLastLine="true" shrinkToFit="true" vertical="center" wrapText="true"/>
    </xf>
    <xf numFmtId="0" fontId="28" fillId="0" borderId="22" xfId="19" applyFont="true" applyBorder="true" applyAlignment="true">
      <alignment horizontal="left" indent="1" justifyLastLine="true" shrinkToFit="true" vertical="center" wrapText="true"/>
    </xf>
    <xf numFmtId="0" fontId="28" fillId="0" borderId="25" xfId="19" applyFont="true" applyBorder="true" applyAlignment="true">
      <alignment horizontal="left" indent="1" justifyLastLine="true" shrinkToFit="true" vertical="center" wrapText="true"/>
    </xf>
    <xf numFmtId="0" fontId="28" fillId="0" borderId="24" xfId="19" applyFont="true" applyBorder="true" applyAlignment="true">
      <alignment horizontal="left" indent="1" justifyLastLine="true" shrinkToFit="true" vertical="center" wrapText="true"/>
    </xf>
    <xf numFmtId="0" fontId="35" fillId="0" borderId="16" xfId="19" applyFont="true" applyBorder="true" applyAlignment="true">
      <alignment horizontal="center" justifyLastLine="true" shrinkToFit="true" vertical="center" wrapText="true"/>
    </xf>
    <xf numFmtId="0" fontId="35" fillId="0" borderId="19" xfId="19" applyFont="true" applyBorder="true" applyAlignment="true">
      <alignment horizontal="center" justifyLastLine="true" shrinkToFit="true" vertical="center" wrapText="true"/>
    </xf>
    <xf numFmtId="0" fontId="35" fillId="0" borderId="23" xfId="19" applyFont="true" applyBorder="true" applyAlignment="true">
      <alignment horizontal="center" justifyLastLine="true" shrinkToFit="true" vertical="center" wrapText="true"/>
    </xf>
    <xf numFmtId="0" fontId="35" fillId="0" borderId="21" xfId="19" applyFont="true" applyBorder="true" applyAlignment="true">
      <alignment horizontal="center" justifyLastLine="true" shrinkToFit="true" vertical="center" wrapText="true"/>
    </xf>
    <xf numFmtId="0" fontId="35" fillId="0" borderId="14" xfId="19" applyFont="true" applyBorder="true" applyAlignment="true">
      <alignment horizontal="center" justifyLastLine="true" shrinkToFit="true" vertical="center" wrapText="true"/>
    </xf>
    <xf numFmtId="0" fontId="33" fillId="0" borderId="0" xfId="19" applyFont="true" applyAlignment="true">
      <alignment horizontal="center"/>
    </xf>
    <xf numFmtId="0" fontId="32" fillId="0" borderId="0" xfId="19" applyFont="true" applyAlignment="true">
      <alignment horizontal="center"/>
    </xf>
    <xf numFmtId="0" fontId="0" fillId="0" borderId="0" xfId="0" applyFill="true" applyAlignment="true">
      <alignment horizontal="center" vertical="center" wrapText="true"/>
    </xf>
    <xf numFmtId="0" fontId="6" fillId="4" borderId="0" xfId="18" applyFill="true" applyAlignment="true">
      <alignment horizontal="center" vertical="center"/>
    </xf>
    <xf numFmtId="0" fontId="5" fillId="4" borderId="0" xfId="1" applyFill="true" applyAlignment="true">
      <alignment horizontal="center" vertical="center"/>
    </xf>
    <xf numFmtId="7" fontId="4" fillId="4" borderId="1" xfId="9" applyFill="true" applyAlignment="true">
      <alignment horizontal="center" vertical="center" wrapText="true"/>
    </xf>
    <xf numFmtId="0" fontId="23" fillId="4" borderId="0" xfId="13" applyFont="true" applyFill="true" applyAlignment="true">
      <alignment horizontal="center" vertical="center"/>
    </xf>
    <xf numFmtId="0" fontId="0" fillId="4" borderId="0" xfId="13" applyFont="true" applyFill="true" applyAlignment="true">
      <alignment horizontal="center" vertical="center"/>
    </xf>
    <xf numFmtId="7" fontId="0" fillId="4" borderId="0" xfId="11" applyFont="true" applyFill="true" applyAlignment="true">
      <alignment horizontal="center" vertical="center"/>
    </xf>
    <xf numFmtId="0" fontId="37" fillId="8" borderId="4" xfId="19" applyFont="true" applyFill="true" applyBorder="true" applyAlignment="true">
      <alignment horizontal="center" justifyLastLine="true" shrinkToFit="true" vertical="center" wrapText="true"/>
    </xf>
    <xf numFmtId="176" fontId="1" fillId="4" borderId="0" xfId="4" applyNumberFormat="true" applyFont="true" applyFill="true">
      <alignment horizontal="left" vertical="center"/>
    </xf>
    <xf numFmtId="0" fontId="39" fillId="0" borderId="20" xfId="19" applyFont="true" applyBorder="true" applyAlignment="true">
      <alignment horizontal="left" indent="1" justifyLastLine="true" shrinkToFit="true" vertical="center" wrapText="true"/>
    </xf>
    <xf numFmtId="0" fontId="39" fillId="0" borderId="25" xfId="19" applyFont="true" applyBorder="true" applyAlignment="true">
      <alignment horizontal="left" indent="1" justifyLastLine="true" shrinkToFit="true" vertical="center" wrapText="true"/>
    </xf>
    <xf numFmtId="0" fontId="38" fillId="4" borderId="0" xfId="0" applyFont="true" applyFill="true" applyAlignment="true">
      <alignment horizontal="right" vertical="top"/>
    </xf>
    <xf numFmtId="0" fontId="38" fillId="4" borderId="0" xfId="18" applyFont="true" applyFill="true" applyBorder="true" applyAlignment="true">
      <alignment horizontal="left" vertical="center"/>
    </xf>
    <xf numFmtId="0" fontId="21" fillId="2" borderId="3" xfId="0" applyFont="true" applyBorder="true" applyAlignment="true">
      <alignment horizontal="center" vertical="center" wrapText="true"/>
    </xf>
    <xf numFmtId="0" fontId="41" fillId="2" borderId="0" xfId="0" applyFont="true">
      <alignment vertical="center" wrapText="true"/>
    </xf>
    <xf numFmtId="9" fontId="42" fillId="4" borderId="0" xfId="4" applyFont="true" applyFill="true">
      <alignment horizontal="left" vertical="center"/>
    </xf>
    <xf numFmtId="0" fontId="43" fillId="6" borderId="5" xfId="0" applyFont="true" applyFill="true" applyBorder="true" applyAlignment="true">
      <alignment horizontal="center" vertical="center" wrapText="true"/>
    </xf>
    <xf numFmtId="0" fontId="43" fillId="2" borderId="5" xfId="0" applyFont="true" applyBorder="true" applyAlignment="true">
      <alignment horizontal="center" vertical="center" wrapText="true"/>
    </xf>
    <xf numFmtId="0" fontId="43" fillId="6" borderId="3" xfId="0" applyFont="true" applyFill="true" applyBorder="true" applyAlignment="true">
      <alignment horizontal="center" vertical="center" wrapText="true"/>
    </xf>
    <xf numFmtId="0" fontId="43" fillId="2" borderId="3" xfId="0" applyFont="true" applyBorder="true" applyAlignment="true">
      <alignment horizontal="center" vertical="center" wrapText="true"/>
    </xf>
    <xf numFmtId="0" fontId="21" fillId="2" borderId="3" xfId="0" applyFont="true" applyBorder="true">
      <alignment vertical="center" wrapText="true"/>
    </xf>
    <xf numFmtId="0" fontId="21" fillId="2" borderId="26" xfId="0" applyFont="true" applyBorder="true" applyAlignment="true">
      <alignment vertical="center"/>
    </xf>
    <xf numFmtId="0" fontId="21" fillId="2" borderId="26" xfId="0" applyFont="true" applyBorder="true">
      <alignment vertical="center" wrapText="true"/>
    </xf>
    <xf numFmtId="0" fontId="21" fillId="2" borderId="26" xfId="0" applyFont="true" applyBorder="true" applyAlignment="true">
      <alignment horizontal="center" vertical="center" wrapText="true"/>
    </xf>
    <xf numFmtId="37" fontId="21" fillId="2" borderId="26" xfId="10" applyFont="true" applyFill="true" applyBorder="true" applyAlignment="true">
      <alignment horizontal="left" vertical="center"/>
    </xf>
    <xf numFmtId="0" fontId="38" fillId="4" borderId="0" xfId="18" applyFont="true" applyFill="true" applyBorder="true" applyAlignment="true">
      <alignment horizontal="right"/>
    </xf>
    <xf numFmtId="0" fontId="16" fillId="7" borderId="0" xfId="5" applyFont="true" applyFill="true" applyAlignment="true">
      <alignment horizontal="left" vertical="center"/>
    </xf>
    <xf numFmtId="0" fontId="39" fillId="0" borderId="22" xfId="19" applyFont="true" applyBorder="true" applyAlignment="true">
      <alignment horizontal="left" indent="1" justifyLastLine="true" shrinkToFit="true" vertical="center" wrapText="true"/>
    </xf>
    <xf numFmtId="0" fontId="39" fillId="0" borderId="24" xfId="19" applyFont="true" applyBorder="true" applyAlignment="true">
      <alignment horizontal="left" indent="1" justifyLastLine="true" shrinkToFit="true" vertical="center" wrapText="true"/>
    </xf>
    <xf numFmtId="0" fontId="35" fillId="0" borderId="28" xfId="19" applyFont="true" applyBorder="true" applyAlignment="true">
      <alignment horizontal="center" justifyLastLine="true" shrinkToFit="true" vertical="center" wrapText="true"/>
    </xf>
    <xf numFmtId="0" fontId="28" fillId="0" borderId="29" xfId="19" applyFont="true" applyBorder="true" applyAlignment="true">
      <alignment horizontal="left" indent="1" justifyLastLine="true" shrinkToFit="true" vertical="center" wrapText="true"/>
    </xf>
    <xf numFmtId="0" fontId="28" fillId="0" borderId="30" xfId="19" applyFont="true" applyBorder="true" applyAlignment="true">
      <alignment horizontal="left" indent="1" justifyLastLine="true" shrinkToFit="true" vertical="center" wrapText="true"/>
    </xf>
    <xf numFmtId="0" fontId="26" fillId="6" borderId="3" xfId="0" applyFont="true" applyFill="true" applyBorder="true" applyAlignment="true">
      <alignment horizontal="left" vertical="center" wrapText="true"/>
    </xf>
    <xf numFmtId="0" fontId="26" fillId="2" borderId="3" xfId="0" applyFont="true" applyBorder="true" applyAlignment="true">
      <alignment horizontal="left" vertical="center" wrapText="true"/>
    </xf>
    <xf numFmtId="0" fontId="22" fillId="4" borderId="8" xfId="13" applyFont="true" applyFill="true" applyBorder="true" applyAlignment="true">
      <alignment horizontal="right" vertical="center" wrapText="true"/>
    </xf>
    <xf numFmtId="0" fontId="22" fillId="4" borderId="8" xfId="13" applyFont="true" applyFill="true" applyBorder="true" applyAlignment="true">
      <alignment horizontal="center" vertical="center" wrapText="true"/>
    </xf>
    <xf numFmtId="0" fontId="26" fillId="6" borderId="10" xfId="0" applyFont="true" applyFill="true" applyBorder="true" applyAlignment="true">
      <alignment horizontal="left" vertical="center" wrapText="true"/>
    </xf>
    <xf numFmtId="0" fontId="0" fillId="2" borderId="0" xfId="0">
      <alignment vertical="center" wrapText="true"/>
    </xf>
    <xf numFmtId="0" fontId="0" fillId="2" borderId="0" xfId="0" applyAlignment="true">
      <alignment horizontal="center" vertical="center" wrapText="true"/>
    </xf>
    <xf numFmtId="0" fontId="40" fillId="2" borderId="26" xfId="0" applyFont="true" applyBorder="true" applyAlignment="true">
      <alignment horizontal="right" vertical="center"/>
    </xf>
    <xf numFmtId="0" fontId="0" fillId="2" borderId="27" xfId="0" applyBorder="true">
      <alignment vertical="center" wrapText="true"/>
    </xf>
    <xf numFmtId="0" fontId="26" fillId="6" borderId="5" xfId="0" applyFont="true" applyFill="true" applyBorder="true" applyAlignment="true">
      <alignment horizontal="left" vertical="center" wrapText="true"/>
    </xf>
    <xf numFmtId="0" fontId="44" fillId="2" borderId="3" xfId="0" applyFont="true" applyBorder="true" applyAlignment="true">
      <alignment horizontal="right" wrapText="true"/>
    </xf>
    <xf numFmtId="0" fontId="45" fillId="4" borderId="6" xfId="13" applyFont="true" applyFill="true" applyBorder="true" applyAlignment="true">
      <alignment horizontal="right" vertical="center" wrapText="true"/>
    </xf>
    <xf numFmtId="0" fontId="45" fillId="4" borderId="7" xfId="13" applyFont="true" applyFill="true" applyBorder="true" applyAlignment="true">
      <alignment horizontal="right" vertical="center" wrapText="true"/>
    </xf>
    <xf numFmtId="7" fontId="45" fillId="4" borderId="6" xfId="11" applyFont="true" applyFill="true" applyBorder="true" applyAlignment="true">
      <alignment horizontal="right" vertical="center" wrapText="true"/>
    </xf>
    <xf numFmtId="7" fontId="45" fillId="4" borderId="7" xfId="11" applyFont="true" applyFill="true" applyBorder="true" applyAlignment="true">
      <alignment horizontal="right" vertical="center" wrapText="true"/>
    </xf>
    <xf numFmtId="0" fontId="45" fillId="4" borderId="7" xfId="13" applyNumberFormat="true" applyFont="true" applyFill="true" applyBorder="true" applyAlignment="true">
      <alignment horizontal="right" vertical="center" wrapText="true"/>
    </xf>
    <xf numFmtId="0" fontId="46" fillId="9" borderId="0" xfId="0" applyFont="true" applyFill="true" applyAlignment="true">
      <alignment horizontal="left" justifyLastLine="true" shrinkToFit="true" vertical="center" wrapText="true"/>
    </xf>
    <xf numFmtId="0" fontId="46" fillId="10" borderId="0" xfId="0" applyFont="true" applyFill="true" applyAlignment="true">
      <alignment horizontal="left" justifyLastLine="true" shrinkToFit="true" vertical="center" wrapText="true"/>
    </xf>
    <xf numFmtId="0" fontId="46" fillId="11" borderId="0" xfId="0" applyFont="true" applyFill="true" applyAlignment="true">
      <alignment horizontal="left" justifyLastLine="true" shrinkToFit="true" vertical="center" wrapText="true"/>
    </xf>
  </cellXfs>
  <cellStyles count="20">
    <cellStyle name="20% - 着色 4" xfId="16" builtinId="42"/>
    <cellStyle name="Budget labels" xfId="13"/>
    <cellStyle name="Done" xfId="12"/>
    <cellStyle name="Title 2" xfId="17"/>
    <cellStyle name="zHide text" xfId="6"/>
    <cellStyle name="千位分隔" xfId="10" builtinId="3" customBuiltin="true"/>
    <cellStyle name="已访问的超链接" xfId="15" builtinId="9" customBuiltin="true"/>
    <cellStyle name="常规" xfId="0" builtinId="0" customBuiltin="true"/>
    <cellStyle name="常规 2" xfId="19"/>
    <cellStyle name="标题" xfId="5" builtinId="15" customBuiltin="true"/>
    <cellStyle name="标题 1" xfId="1" builtinId="16" customBuiltin="true"/>
    <cellStyle name="标题 2" xfId="2" builtinId="17" customBuiltin="true"/>
    <cellStyle name="标题 3" xfId="7" builtinId="18" customBuiltin="true"/>
    <cellStyle name="标题 4" xfId="8" builtinId="19" customBuiltin="true"/>
    <cellStyle name="汇总" xfId="9" builtinId="25" customBuiltin="true"/>
    <cellStyle name="百分比" xfId="4" builtinId="5" customBuiltin="true"/>
    <cellStyle name="解释性文本" xfId="18" builtinId="53" customBuiltin="true"/>
    <cellStyle name="货币" xfId="3" builtinId="4" customBuiltin="true"/>
    <cellStyle name="货币[0]" xfId="11" builtinId="7" customBuiltin="true"/>
    <cellStyle name="超链接" xfId="14" builtinId="8" customBuiltin="true"/>
  </cellStyles>
  <dxfs count="5">
    <dxf>
      <font>
        <color theme="4" tint="-0.249946592608417"/>
      </font>
      <border>
        <bottom style="thin">
          <color theme="4"/>
        </bottom>
        <vertical/>
        <horizontal/>
      </border>
    </dxf>
    <dxf>
      <font>
        <color theme="4" tint="-0.249946592608417"/>
      </font>
      <fill>
        <patternFill patternType="none">
          <bgColor auto="true"/>
        </patternFill>
      </fill>
      <border>
        <left style="thin">
          <color theme="4"/>
        </left>
        <right style="thin">
          <color theme="4"/>
        </right>
        <top style="thin">
          <color theme="4"/>
        </top>
        <bottom style="thin">
          <color theme="4"/>
        </bottom>
        <vertical/>
        <horizontal/>
      </border>
    </dxf>
    <dxf>
      <font>
        <b val="0"/>
        <i val="0"/>
      </font>
      <fill>
        <patternFill patternType="solid">
          <fgColor theme="0" tint="-0.14993743705557422"/>
          <bgColor theme="0" tint="-0.0499893185216834"/>
        </patternFill>
      </fill>
    </dxf>
    <dxf>
      <font>
        <b val="1"/>
        <i val="0"/>
      </font>
      <fill>
        <patternFill patternType="none">
          <bgColor auto="true"/>
        </patternFill>
      </fill>
      <border>
        <top/>
        <bottom style="thick">
          <color theme="2" tint="-0.499984740745262"/>
        </bottom>
      </border>
    </dxf>
    <dxf>
      <font>
        <b val="0"/>
        <i val="0"/>
        <color theme="1"/>
      </font>
      <border>
        <left/>
        <right/>
        <top style="dotted">
          <color theme="2" tint="-0.499984740745262"/>
        </top>
        <bottom style="dotted">
          <color theme="2" tint="-0.499984740745262"/>
        </bottom>
        <vertical/>
        <horizontal style="dotted">
          <color theme="2" tint="-0.499984740745262"/>
        </horizontal>
      </border>
    </dxf>
  </dxfs>
  <tableStyles count="2" defaultPivotStyle="PivotStyleLight16" defaultTableStyle="TableStyleMedium2">
    <tableStyle name="College Checklist" pivot="0" count="3">
      <tableStyleElement type="wholeTable" dxfId="4"/>
      <tableStyleElement type="headerRow" dxfId="3"/>
      <tableStyleElement type="firstRowStripe" dxfId="2"/>
    </tableStyle>
    <tableStyle name="Shopping List" pivot="0" count="10">
      <tableStyleElement type="wholeTable" dxfId="1"/>
      <tableStyleElement type="headerRow" dxfId="0"/>
    </tableStyle>
  </tableStyles>
  <colors>
    <mruColors>
      <color rgb="FFEAEAEA"/>
      <color rgb="FFBE1F16"/>
      <color rgb="FF0066FF"/>
      <color rgb="FFF2543A"/>
      <color rgb="FFD8EFF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hopping List">
        <x14:slicerStyle name="Shopping 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metadata.xml" Type="http://schemas.openxmlformats.org/officeDocument/2006/relationships/sheetMetadata"></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11" Target="../customXml/item2.xml" Type="http://schemas.openxmlformats.org/officeDocument/2006/relationships/customXml"></Relationship><Relationship Id="rId5" Target="theme/theme1.xml" Type="http://schemas.openxmlformats.org/officeDocument/2006/relationships/theme"></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786409381665122E-2"/>
          <c:y val="0.25048243969503814"/>
          <c:w val="0.90471623009879287"/>
          <c:h val="0.39820022497187851"/>
        </c:manualLayout>
      </c:layout>
      <c:barChart>
        <c:barDir val="bar"/>
        <c:grouping val="clustered"/>
        <c:varyColors val="0"/>
        <c:ser>
          <c:idx val="0"/>
          <c:order val="0"/>
          <c:tx>
            <c:strRef>
              <c:f>HealthReport!$A$1</c:f>
              <c:strCache>
                <c:ptCount val="1"/>
              </c:strCache>
            </c:strRef>
          </c:tx>
          <c:spPr>
            <a:solidFill>
              <a:schemeClr val="accent4">
                <a:lumMod val="75000"/>
              </a:schemeClr>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129A-442B-AB08-6F070EE98C93}"/>
              </c:ext>
            </c:extLst>
          </c:dPt>
          <c:dLbls>
            <c:dLbl>
              <c:idx val="0"/>
              <c:layout>
                <c:manualLayout>
                  <c:x val="-0.10545777809832947"/>
                  <c:y val="-7.886219855390288E-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rgbClr val="BE1F16"/>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layout>
                    <c:manualLayout>
                      <c:w val="0.11051975144704917"/>
                      <c:h val="0.42561990655760917"/>
                    </c:manualLayout>
                  </c15:layout>
                </c:ext>
                <c:ext xmlns:c16="http://schemas.microsoft.com/office/drawing/2014/chart" uri="{C3380CC4-5D6E-409C-BE32-E72D297353CC}">
                  <c16:uniqueId val="{00000001-129A-442B-AB08-6F070EE98C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HealthReport!$L$12</c:f>
              <c:numCache>
                <c:formatCode>0%</c:formatCode>
                <c:ptCount val="1"/>
              </c:numCache>
            </c:numRef>
          </c:cat>
          <c:val>
            <c:numRef>
              <c:f>HealthReport!$L$14</c:f>
              <c:numCache>
                <c:formatCode>0%</c:formatCode>
                <c:ptCount val="1"/>
                <c:pt idx="0">
                  <c:v>0.96666666666666667</c:v>
                </c:pt>
              </c:numCache>
            </c:numRef>
          </c:val>
          <c:extLst>
            <c:ext xmlns:c16="http://schemas.microsoft.com/office/drawing/2014/chart" uri="{C3380CC4-5D6E-409C-BE32-E72D297353CC}">
              <c16:uniqueId val="{00000002-129A-442B-AB08-6F070EE98C93}"/>
            </c:ext>
          </c:extLst>
        </c:ser>
        <c:dLbls>
          <c:showLegendKey val="0"/>
          <c:showVal val="0"/>
          <c:showCatName val="0"/>
          <c:showSerName val="0"/>
          <c:showPercent val="0"/>
          <c:showBubbleSize val="0"/>
        </c:dLbls>
        <c:gapWidth val="7"/>
        <c:axId val="564033872"/>
        <c:axId val="564033480"/>
      </c:barChart>
      <c:valAx>
        <c:axId val="564033480"/>
        <c:scaling>
          <c:orientation val="minMax"/>
          <c:max val="1"/>
          <c:min val="0"/>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100" b="0" i="1" u="none" strike="noStrike" kern="1200" baseline="0">
                <a:solidFill>
                  <a:schemeClr val="tx1"/>
                </a:solidFill>
                <a:latin typeface="+mn-lt"/>
                <a:ea typeface="+mn-ea"/>
                <a:cs typeface="+mn-cs"/>
              </a:defRPr>
            </a:pPr>
            <a:endParaRPr lang="zh-CN"/>
          </a:p>
        </c:txPr>
        <c:crossAx val="564033872"/>
        <c:crosses val="autoZero"/>
        <c:crossBetween val="between"/>
        <c:majorUnit val="0.25"/>
      </c:valAx>
      <c:catAx>
        <c:axId val="564033872"/>
        <c:scaling>
          <c:orientation val="minMax"/>
        </c:scaling>
        <c:delete val="1"/>
        <c:axPos val="l"/>
        <c:numFmt formatCode="0%" sourceLinked="1"/>
        <c:majorTickMark val="none"/>
        <c:minorTickMark val="none"/>
        <c:tickLblPos val="nextTo"/>
        <c:crossAx val="564033480"/>
        <c:crosses val="autoZero"/>
        <c:auto val="1"/>
        <c:lblAlgn val="ctr"/>
        <c:lblOffset val="100"/>
        <c:noMultiLvlLbl val="0"/>
      </c:catAx>
      <c:spPr>
        <a:noFill/>
        <a:ln w="25400" cap="flat">
          <a:solidFill>
            <a:schemeClr val="tx1">
              <a:alpha val="99000"/>
            </a:schemeClr>
          </a:solidFill>
          <a:round/>
        </a:ln>
        <a:effectLst/>
      </c:spPr>
    </c:plotArea>
    <c:plotVisOnly val="1"/>
    <c:dispBlanksAs val="gap"/>
    <c:showDLblsOverMax val="0"/>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noFill/>
        </a:ln>
        <a:effectLst/>
        <a:sp3d/>
      </c:spPr>
    </c:sideWall>
    <c:back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solidFill>
            <a:schemeClr val="tx1"/>
          </a:solidFill>
        </a:ln>
        <a:effectLst/>
        <a:sp3d contourW="9525">
          <a:contourClr>
            <a:schemeClr val="tx1"/>
          </a:contourClr>
        </a:sp3d>
      </c:spPr>
    </c:backWall>
    <c:plotArea>
      <c:layout>
        <c:manualLayout>
          <c:layoutTarget val="inner"/>
          <c:xMode val="edge"/>
          <c:yMode val="edge"/>
          <c:x val="0.27374442229583901"/>
          <c:y val="5.1366979378933877E-2"/>
          <c:w val="0.66862974927011976"/>
          <c:h val="0.73348296065002583"/>
        </c:manualLayout>
      </c:layout>
      <c:bar3DChart>
        <c:barDir val="bar"/>
        <c:grouping val="stacked"/>
        <c:varyColors val="0"/>
        <c:ser>
          <c:idx val="0"/>
          <c:order val="0"/>
          <c:tx>
            <c:strRef>
              <c:f>HealthReport!$D$14</c:f>
              <c:strCache>
                <c:ptCount val="1"/>
                <c:pt idx="0">
                  <c:v>重要</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HealthReport!$D$15:$D$24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8CB5-422E-B41C-38AD1D946952}"/>
            </c:ext>
          </c:extLst>
        </c:ser>
        <c:ser>
          <c:idx val="1"/>
          <c:order val="1"/>
          <c:tx>
            <c:strRef>
              <c:f>HealthReport!$E$14</c:f>
              <c:strCache>
                <c:ptCount val="1"/>
                <c:pt idx="0">
                  <c:v>普通</c:v>
                </c:pt>
              </c:strCache>
            </c:strRef>
          </c:tx>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0070C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HealthReport!$E$15:$E$24</c:f>
              <c:numCache>
                <c:formatCode>General</c:formatCode>
                <c:ptCount val="10"/>
                <c:pt idx="0">
                  <c:v>1</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8CB5-422E-B41C-38AD1D946952}"/>
            </c:ext>
          </c:extLst>
        </c:ser>
        <c:ser>
          <c:idx val="2"/>
          <c:order val="2"/>
          <c:tx>
            <c:strRef>
              <c:f>HealthReport!$F$14</c:f>
              <c:strCache>
                <c:ptCount val="1"/>
                <c:pt idx="0">
                  <c:v>轻微</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HealthReport!$F$15:$F$24</c:f>
              <c:numCache>
                <c:formatCode>General</c:formatCode>
                <c:ptCount val="10"/>
                <c:pt idx="0">
                  <c:v>1</c:v>
                </c:pt>
                <c:pt idx="1">
                  <c:v>0</c:v>
                </c:pt>
                <c:pt idx="2">
                  <c:v>1</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8CB5-422E-B41C-38AD1D946952}"/>
            </c:ext>
          </c:extLst>
        </c:ser>
        <c:dLbls>
          <c:showLegendKey val="0"/>
          <c:showVal val="0"/>
          <c:showCatName val="0"/>
          <c:showSerName val="0"/>
          <c:showPercent val="0"/>
          <c:showBubbleSize val="0"/>
        </c:dLbls>
        <c:gapWidth val="65"/>
        <c:gapDepth val="390"/>
        <c:shape val="box"/>
        <c:axId val="984238799"/>
        <c:axId val="984241679"/>
        <c:axId val="0"/>
      </c:bar3DChart>
      <c:catAx>
        <c:axId val="98423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ln>
                  <a:noFill/>
                </a:ln>
                <a:solidFill>
                  <a:schemeClr val="tx1"/>
                </a:solidFill>
                <a:latin typeface="+mn-lt"/>
                <a:ea typeface="+mn-ea"/>
                <a:cs typeface="+mn-cs"/>
              </a:defRPr>
            </a:pPr>
            <a:endParaRPr lang="zh-CN"/>
          </a:p>
        </c:txPr>
        <c:crossAx val="984241679"/>
        <c:crosses val="autoZero"/>
        <c:auto val="1"/>
        <c:lblAlgn val="l"/>
        <c:lblOffset val="100"/>
        <c:noMultiLvlLbl val="0"/>
      </c:catAx>
      <c:valAx>
        <c:axId val="98424167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CN"/>
          </a:p>
        </c:txPr>
        <c:crossAx val="98423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6000">
          <a:schemeClr val="bg1">
            <a:lumMod val="65000"/>
          </a:schemeClr>
        </a:gs>
        <a:gs pos="0">
          <a:schemeClr val="bg1">
            <a:lumMod val="65000"/>
          </a:schemeClr>
        </a:gs>
        <a:gs pos="98000">
          <a:schemeClr val="tx1">
            <a:lumMod val="50000"/>
            <a:lumOff val="50000"/>
          </a:schemeClr>
        </a:gs>
      </a:gsLst>
      <a:path path="circle">
        <a:fillToRect l="50000" t="50000" r="50000" b="50000"/>
      </a:path>
      <a:tileRect/>
    </a:gradFill>
    <a:ln>
      <a:noFill/>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image" Target="../media/image2.jpe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9</xdr:col>
      <xdr:colOff>227337</xdr:colOff>
      <xdr:row>0</xdr:row>
      <xdr:rowOff>170649</xdr:rowOff>
    </xdr:from>
    <xdr:to>
      <xdr:col>10</xdr:col>
      <xdr:colOff>1167243</xdr:colOff>
      <xdr:row>0</xdr:row>
      <xdr:rowOff>843114</xdr:rowOff>
    </xdr:to>
    <xdr:pic>
      <xdr:nvPicPr>
        <xdr:cNvPr id="4" name="图片 3">
          <a:extLst>
            <a:ext uri="{FF2B5EF4-FFF2-40B4-BE49-F238E27FC236}">
              <a16:creationId xmlns:a16="http://schemas.microsoft.com/office/drawing/2014/main" id="{EFC97509-69C0-FE95-1924-B7AB136F5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1533" y="170649"/>
          <a:ext cx="1977111" cy="672465"/>
        </a:xfrm>
        <a:prstGeom prst="rect">
          <a:avLst/>
        </a:prstGeom>
      </xdr:spPr>
    </xdr:pic>
    <xdr:clientData/>
  </xdr:twoCellAnchor>
  <xdr:twoCellAnchor editAs="oneCell">
    <xdr:from>
      <xdr:col>6</xdr:col>
      <xdr:colOff>368949</xdr:colOff>
      <xdr:row>12</xdr:row>
      <xdr:rowOff>269761</xdr:rowOff>
    </xdr:from>
    <xdr:to>
      <xdr:col>10</xdr:col>
      <xdr:colOff>986518</xdr:colOff>
      <xdr:row>14</xdr:row>
      <xdr:rowOff>309562</xdr:rowOff>
    </xdr:to>
    <xdr:graphicFrame>
      <xdr:nvGraphicFramePr>
        <xdr:cNvPr id="5" name="Progress chart" descr="Progress bar depicting purchasing progress">
          <a:extLst>
            <a:ext uri="{FF2B5EF4-FFF2-40B4-BE49-F238E27FC236}">
              <a16:creationId xmlns:a16="http://schemas.microsoft.com/office/drawing/2014/main" id="{C6FDBF44-3117-44D3-86FB-4212B72B1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219542</xdr:colOff>
      <xdr:row>15</xdr:row>
      <xdr:rowOff>107122</xdr:rowOff>
    </xdr:from>
    <xdr:to>
      <xdr:col>10</xdr:col>
      <xdr:colOff>579258</xdr:colOff>
      <xdr:row>24</xdr:row>
      <xdr:rowOff>159768</xdr:rowOff>
    </xdr:to>
    <xdr:graphicFrame>
      <xdr:nvGraphicFramePr>
        <xdr:cNvPr id="11" name="图表 10">
          <a:extLst>
            <a:ext uri="{FF2B5EF4-FFF2-40B4-BE49-F238E27FC236}">
              <a16:creationId xmlns:a16="http://schemas.microsoft.com/office/drawing/2014/main" id="{D8602FE4-E55F-EAAD-F8DB-942A483D7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76268</xdr:colOff>
      <xdr:row>57</xdr:row>
      <xdr:rowOff>294074</xdr:rowOff>
    </xdr:from>
    <xdr:to>
      <xdr:col>10</xdr:col>
      <xdr:colOff>259557</xdr:colOff>
      <xdr:row>58</xdr:row>
      <xdr:rowOff>487001</xdr:rowOff>
    </xdr:to>
    <xdr:sp>
      <xdr:nvSpPr>
        <xdr:cNvPr id="6" name="文本框 48">
          <a:extLst>
            <a:ext uri="{FF2B5EF4-FFF2-40B4-BE49-F238E27FC236}">
              <a16:creationId xmlns:a16="http://schemas.microsoft.com/office/drawing/2014/main" id="{72167FE8-EBB2-4548-8574-8C7B5D21C9E1}"/>
            </a:ext>
          </a:extLst>
        </xdr:cNvPr>
        <xdr:cNvSpPr txBox="1"/>
      </xdr:nvSpPr>
      <xdr:spPr>
        <a:xfrm>
          <a:off x="5438843" y="35060324"/>
          <a:ext cx="3783739" cy="697752"/>
        </a:xfrm>
        <a:prstGeom prst="rect">
          <a:avLst/>
        </a:prstGeom>
        <a:noFill/>
        <a:ln>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noAutofit/>
        </a:bodyPr>
        <a:lstStyle/>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电话：</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010-82838118</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地址：北京市海淀区学院路</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30</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号科大天工大厦</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B</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座</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6</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层</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官网：</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www.vastdata.com.cn</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xdr:txBody>
    </xdr:sp>
    <xdr:clientData/>
  </xdr:twoCellAnchor>
  <xdr:twoCellAnchor editAs="oneCell">
    <xdr:from>
      <xdr:col>4</xdr:col>
      <xdr:colOff>754516</xdr:colOff>
      <xdr:row>57</xdr:row>
      <xdr:rowOff>154101</xdr:rowOff>
    </xdr:from>
    <xdr:to>
      <xdr:col>5</xdr:col>
      <xdr:colOff>660287</xdr:colOff>
      <xdr:row>59</xdr:row>
      <xdr:rowOff>17349</xdr:rowOff>
    </xdr:to>
    <xdr:pic>
      <xdr:nvPicPr>
        <xdr:cNvPr id="7" name="图片 6">
          <a:extLst>
            <a:ext uri="{FF2B5EF4-FFF2-40B4-BE49-F238E27FC236}">
              <a16:creationId xmlns:a16="http://schemas.microsoft.com/office/drawing/2014/main" id="{0DE27EF6-A602-43B8-A511-F38F5B10EF0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4193041" y="34920351"/>
          <a:ext cx="867796" cy="872898"/>
        </a:xfrm>
        <a:prstGeom prst="rect">
          <a:avLst/>
        </a:prstGeom>
        <a:noFill/>
        <a:ln>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College Move Checklist">
      <a:dk1>
        <a:srgbClr val="000000"/>
      </a:dk1>
      <a:lt1>
        <a:srgbClr val="FFFFFF"/>
      </a:lt1>
      <a:dk2>
        <a:srgbClr val="3A0F0D"/>
      </a:dk2>
      <a:lt2>
        <a:srgbClr val="FCF7F3"/>
      </a:lt2>
      <a:accent1>
        <a:srgbClr val="E73D36"/>
      </a:accent1>
      <a:accent2>
        <a:srgbClr val="A7B73E"/>
      </a:accent2>
      <a:accent3>
        <a:srgbClr val="FA9E21"/>
      </a:accent3>
      <a:accent4>
        <a:srgbClr val="42ADBA"/>
      </a:accent4>
      <a:accent5>
        <a:srgbClr val="F7D93B"/>
      </a:accent5>
      <a:accent6>
        <a:srgbClr val="8C405E"/>
      </a:accent6>
      <a:hlink>
        <a:srgbClr val="42ADBA"/>
      </a:hlink>
      <a:folHlink>
        <a:srgbClr val="9E6B9C"/>
      </a:folHlink>
    </a:clrScheme>
    <a:fontScheme name="College Move Checklist">
      <a:majorFont>
        <a:latin typeface="Impact"/>
        <a:ea typeface=""/>
        <a:cs typeface=""/>
      </a:majorFont>
      <a:minorFont>
        <a:latin typeface="Corbe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_rels/sheet3.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4.xml.rels><?xml version="1.0" encoding="UTF-8"?>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tint="-0.249977111117893"/>
    <pageSetUpPr fitToPage="true"/>
  </sheetPr>
  <dimension ref="B1:P93"/>
  <sheetViews>
    <sheetView showGridLines="false" tabSelected="true" topLeftCell="A17" zoomScaleNormal="100" zoomScaleSheetLayoutView="100" workbookViewId="0">
      <selection activeCell="J7" sqref="J7:K7"/>
    </sheetView>
  </sheetViews>
  <sheetFormatPr defaultRowHeight="30" customHeight="true"/>
  <cols>
    <col customWidth="true" max="1" min="1" width="11.625"/>
    <col customWidth="true" max="2" min="2" style="14" width="5.25"/>
    <col customWidth="true" max="3" min="3" width="15.625"/>
    <col customWidth="true" max="5" min="4" width="12.625"/>
    <col customWidth="true" max="6" min="6" style="14" width="12.625"/>
    <col customWidth="true" max="7" min="7" width="6.375"/>
    <col customWidth="true" max="8" min="8" width="15.625"/>
    <col customWidth="true" max="9" min="9" width="11.625"/>
    <col customWidth="true" max="10" min="10" width="13.625"/>
    <col customWidth="true" max="11" min="11" width="16.375"/>
    <col customWidth="true" max="12" min="12" width="6.75"/>
    <col customWidth="true" max="13" min="13" width="5.5"/>
  </cols>
  <sheetData>
    <row r="1" spans="2:16" ht="73.5" customHeight="true">
      <c r="B1" s="19"/>
      <c r="C1" s="109" t="s">
        <v>144</v>
      </c>
      <c r="D1" s="20"/>
      <c r="E1" s="20"/>
      <c r="F1" s="23" t="s">
        <v>32</v>
      </c>
      <c r="G1" s="23"/>
      <c r="H1" s="21"/>
      <c r="I1" s="21"/>
      <c r="J1" s="21"/>
      <c r="K1" s="22"/>
      <c r="L1" s="22"/>
    </row>
    <row r="2" spans="2:16" ht="26.25" customHeight="true">
      <c r="B2" s="12"/>
      <c r="C2" s="95" t="s">
        <v>148</v>
      </c>
      <c r="D2" s="2"/>
      <c r="E2" s="2"/>
      <c r="F2" s="84"/>
      <c r="G2" s="2"/>
      <c r="H2" s="2"/>
      <c r="I2" s="2"/>
      <c r="J2" s="2"/>
      <c r="K2" s="108" t="s">
        <v>149</v>
      </c>
      <c r="L2" s="2"/>
    </row>
    <row r="3" spans="2:16" ht="30" customHeight="true">
      <c r="B3" s="12"/>
      <c r="C3" s="3" t="s">
        <v>0</v>
      </c>
      <c r="D3" s="5"/>
      <c r="E3" s="3"/>
      <c r="F3" s="85"/>
      <c r="G3" s="4"/>
      <c r="H3" s="5" t="s">
        <v>1</v>
      </c>
      <c r="I3" s="5"/>
      <c r="J3" s="5"/>
      <c r="K3" s="94"/>
      <c r="L3" s="2"/>
    </row>
    <row r="4" spans="2:16" ht="39.95" customHeight="true">
      <c r="B4" s="12"/>
      <c r="C4" s="38" t="s">
        <v>2</v>
      </c>
      <c r="D4" s="39"/>
      <c r="E4" s="128" t="s">
        <v>150</v>
      </c>
      <c r="F4" s="128"/>
      <c r="G4" s="17"/>
      <c r="H4" s="43" t="s">
        <v>12</v>
      </c>
      <c r="I4" s="43"/>
      <c r="J4" s="126" t="s">
        <v>156</v>
      </c>
      <c r="K4" s="126"/>
      <c r="L4" s="2"/>
    </row>
    <row r="5" spans="2:16" ht="42.75" customHeight="true">
      <c r="B5" s="12"/>
      <c r="C5" s="40" t="s">
        <v>35</v>
      </c>
      <c r="D5" s="41"/>
      <c r="E5" s="129" t="s">
        <v>151</v>
      </c>
      <c r="F5" s="129"/>
      <c r="G5" s="17"/>
      <c r="H5" s="40" t="s">
        <v>4</v>
      </c>
      <c r="I5" s="40"/>
      <c r="J5" s="127" t="s">
        <v>157</v>
      </c>
      <c r="K5" s="127"/>
      <c r="L5" s="2"/>
    </row>
    <row r="6" spans="2:16" ht="39.95" customHeight="true">
      <c r="B6" s="12"/>
      <c r="C6" s="40" t="s">
        <v>87</v>
      </c>
      <c r="D6" s="40"/>
      <c r="E6" s="127" t="s">
        <v>82</v>
      </c>
      <c r="F6" s="127"/>
      <c r="G6" s="17"/>
      <c r="H6" s="40" t="s">
        <v>5</v>
      </c>
      <c r="I6" s="40"/>
      <c r="J6" s="127" t="s">
        <v>6</v>
      </c>
      <c r="K6" s="127"/>
      <c r="L6" s="2"/>
    </row>
    <row r="7" spans="2:16" ht="39.95" customHeight="true">
      <c r="B7" s="12"/>
      <c r="C7" s="40" t="s">
        <v>38</v>
      </c>
      <c r="D7" s="42"/>
      <c r="E7" s="127" t="s">
        <v>152</v>
      </c>
      <c r="F7" s="127"/>
      <c r="G7" s="17"/>
      <c r="H7" s="40" t="s">
        <v>57</v>
      </c>
      <c r="I7" s="40"/>
      <c r="J7" s="127" t="s">
        <v>13</v>
      </c>
      <c r="K7" s="127"/>
      <c r="L7" s="2"/>
      <c r="P7" s="1"/>
    </row>
    <row r="8" spans="2:16" ht="39.95" customHeight="true">
      <c r="B8" s="12"/>
      <c r="C8" s="40" t="s">
        <v>76</v>
      </c>
      <c r="D8" s="40"/>
      <c r="E8" s="130" t="s">
        <v>153</v>
      </c>
      <c r="F8" s="127"/>
      <c r="G8" s="18"/>
      <c r="H8" s="40" t="s">
        <v>104</v>
      </c>
      <c r="I8" s="40"/>
      <c r="J8" s="127" t="s">
        <v>8</v>
      </c>
      <c r="K8" s="127"/>
      <c r="L8" s="2"/>
    </row>
    <row r="9" spans="2:16" ht="39.95" customHeight="true">
      <c r="B9" s="12"/>
      <c r="C9" s="40" t="s">
        <v>3</v>
      </c>
      <c r="D9" s="40"/>
      <c r="E9" s="127" t="s">
        <v>154</v>
      </c>
      <c r="F9" s="127"/>
      <c r="G9" s="18"/>
      <c r="H9" s="40" t="s">
        <v>10</v>
      </c>
      <c r="I9" s="40"/>
      <c r="J9" s="127" t="s">
        <v>158</v>
      </c>
      <c r="K9" s="127"/>
      <c r="L9" s="2"/>
    </row>
    <row r="10" spans="2:16" ht="39.95" customHeight="true">
      <c r="B10" s="12"/>
      <c r="C10" s="40" t="s">
        <v>86</v>
      </c>
      <c r="D10" s="40"/>
      <c r="E10" s="127" t="s">
        <v>155</v>
      </c>
      <c r="F10" s="127"/>
      <c r="G10" s="18"/>
      <c r="H10" s="42" t="s">
        <v>103</v>
      </c>
      <c r="I10" s="40"/>
      <c r="J10" s="127" t="s">
        <v>159</v>
      </c>
      <c r="K10" s="127"/>
      <c r="L10" s="2"/>
    </row>
    <row r="11" spans="2:16" ht="39.95" customHeight="true" thickBot="true">
      <c r="B11" s="12"/>
      <c r="C11" s="15"/>
      <c r="D11" s="15"/>
      <c r="E11" s="118"/>
      <c r="F11" s="118"/>
      <c r="G11" s="18"/>
      <c r="H11" s="15"/>
      <c r="I11" s="15"/>
      <c r="J11" s="117"/>
      <c r="K11" s="117"/>
      <c r="L11" s="2"/>
    </row>
    <row r="12" spans="2:16" ht="30" customHeight="true" thickTop="true">
      <c r="B12" s="13"/>
      <c r="C12" s="9"/>
      <c r="D12" s="10"/>
      <c r="E12" s="10"/>
      <c r="F12" s="86"/>
      <c r="G12" s="8"/>
      <c r="H12" s="9"/>
      <c r="I12" s="9"/>
      <c r="J12" s="10"/>
      <c r="K12" s="10"/>
      <c r="L12" s="8"/>
    </row>
    <row r="13" spans="2:16" ht="30" customHeight="true">
      <c r="B13" s="13"/>
      <c r="C13" s="5" t="s">
        <v>14</v>
      </c>
      <c r="D13" s="5"/>
      <c r="E13" s="3"/>
      <c r="F13" s="85"/>
      <c r="G13" s="8"/>
      <c r="H13" s="5">
        <f>"Health status ("&amp;SUM($D$15:$F$24)&amp;" of "&amp;85&amp;")"</f>
      </c>
      <c r="I13" s="8"/>
      <c r="J13" s="8"/>
      <c r="K13" s="8"/>
      <c r="L13" s="91"/>
    </row>
    <row r="14" spans="2:16" ht="30" customHeight="true">
      <c r="B14" s="13"/>
      <c r="C14" s="8"/>
      <c r="D14" s="16" t="s">
        <v>16</v>
      </c>
      <c r="E14" s="16" t="s">
        <v>31</v>
      </c>
      <c r="F14" s="87" t="s">
        <v>17</v>
      </c>
      <c r="G14" s="8"/>
      <c r="H14" s="8"/>
      <c r="I14" s="8"/>
      <c r="J14" s="8"/>
      <c r="K14" s="8"/>
      <c r="L14" s="98">
        <f>1-SUM($D$15:$F$24)/85</f>
      </c>
    </row>
    <row r="15" spans="2:16" ht="30" customHeight="true">
      <c r="B15" s="13"/>
      <c r="C15" s="15" t="s">
        <v>98</v>
      </c>
      <c r="D15" s="6">
        <v>1</v>
      </c>
      <c r="E15" s="6">
        <v>9</v>
      </c>
      <c r="F15" s="88">
        <v>2</v>
      </c>
      <c r="G15" s="8"/>
      <c r="H15" s="8"/>
      <c r="I15" s="8"/>
      <c r="J15" s="8"/>
      <c r="K15" s="8"/>
      <c r="L15" s="8"/>
    </row>
    <row r="16" spans="2:16" ht="30" customHeight="true">
      <c r="B16" s="13"/>
      <c r="C16" s="15" t="s">
        <v>99</v>
      </c>
      <c r="D16" s="6">
        <v>0</v>
      </c>
      <c r="E16" s="6">
        <v>1</v>
      </c>
      <c r="F16" s="88">
        <v>1</v>
      </c>
      <c r="G16" s="8"/>
      <c r="H16" s="8"/>
      <c r="I16" s="8"/>
      <c r="J16" s="8"/>
      <c r="K16" s="8"/>
      <c r="L16" s="8"/>
    </row>
    <row r="17" spans="2:12" ht="30" customHeight="true">
      <c r="B17" s="13"/>
      <c r="C17" s="15" t="s">
        <v>101</v>
      </c>
      <c r="D17" s="6">
        <v>0</v>
      </c>
      <c r="E17" s="6">
        <v>1</v>
      </c>
      <c r="F17" s="88">
        <v>1</v>
      </c>
      <c r="G17" s="8"/>
      <c r="H17" s="8"/>
      <c r="I17" s="8"/>
      <c r="J17" s="8"/>
      <c r="K17" s="8"/>
      <c r="L17" s="8"/>
    </row>
    <row r="18" spans="2:12" ht="30" customHeight="true">
      <c r="B18" s="13"/>
      <c r="C18" s="15" t="s">
        <v>102</v>
      </c>
      <c r="D18" s="6">
        <v>0</v>
      </c>
      <c r="E18" s="6">
        <v>0</v>
      </c>
      <c r="F18" s="88">
        <v>0</v>
      </c>
      <c r="G18" s="8"/>
      <c r="H18" s="8"/>
      <c r="I18" s="8"/>
      <c r="J18" s="8"/>
      <c r="K18" s="8"/>
      <c r="L18" s="8"/>
    </row>
    <row r="19" spans="2:12" ht="30" customHeight="true">
      <c r="B19" s="13"/>
      <c r="C19" s="15" t="s">
        <v>94</v>
      </c>
      <c r="D19" s="6">
        <v>0</v>
      </c>
      <c r="E19" s="6">
        <v>0</v>
      </c>
      <c r="F19" s="88">
        <v>0</v>
      </c>
      <c r="G19" s="8"/>
      <c r="H19" s="8"/>
      <c r="I19" s="5"/>
      <c r="J19" s="8"/>
      <c r="K19" s="8"/>
      <c r="L19" s="8"/>
    </row>
    <row r="20" spans="2:12" ht="30" customHeight="true">
      <c r="B20" s="13"/>
      <c r="C20" s="15" t="s">
        <v>95</v>
      </c>
      <c r="D20" s="6">
        <v>0</v>
      </c>
      <c r="E20" s="6">
        <v>0</v>
      </c>
      <c r="F20" s="88">
        <v>0</v>
      </c>
      <c r="G20" s="8"/>
      <c r="H20" s="8"/>
      <c r="I20" s="8"/>
      <c r="J20" s="8"/>
      <c r="K20" s="8"/>
      <c r="L20" s="8"/>
    </row>
    <row r="21" spans="2:12" ht="30" customHeight="true">
      <c r="B21" s="13"/>
      <c r="C21" s="15" t="s">
        <v>96</v>
      </c>
      <c r="D21" s="6">
        <v>1</v>
      </c>
      <c r="E21" s="6">
        <v>0</v>
      </c>
      <c r="F21" s="88">
        <v>0</v>
      </c>
      <c r="G21" s="8"/>
      <c r="H21" s="8"/>
      <c r="I21" s="8"/>
      <c r="J21" s="8"/>
      <c r="K21" s="8"/>
      <c r="L21" s="8"/>
    </row>
    <row r="22" spans="2:12" ht="30" customHeight="true">
      <c r="B22" s="13"/>
      <c r="C22" s="15" t="s">
        <v>97</v>
      </c>
      <c r="D22" s="6">
        <v>0</v>
      </c>
      <c r="E22" s="6">
        <v>1</v>
      </c>
      <c r="F22" s="88">
        <v>2</v>
      </c>
      <c r="G22" s="4"/>
      <c r="H22" s="8"/>
      <c r="I22" s="8"/>
      <c r="J22" s="8"/>
      <c r="K22" s="8"/>
      <c r="L22" s="8"/>
    </row>
    <row r="23" spans="2:12" ht="30" customHeight="true">
      <c r="B23" s="13"/>
      <c r="C23" s="15" t="s">
        <v>100</v>
      </c>
      <c r="D23" s="6">
        <v>0</v>
      </c>
      <c r="E23" s="6">
        <v>1</v>
      </c>
      <c r="F23" s="88">
        <v>0</v>
      </c>
      <c r="G23" s="4"/>
      <c r="H23" s="8"/>
      <c r="I23" s="8"/>
      <c r="J23" s="8"/>
      <c r="K23" s="8"/>
      <c r="L23" s="8"/>
    </row>
    <row r="24" spans="2:12" ht="30" customHeight="true">
      <c r="B24" s="13"/>
      <c r="C24" s="15" t="s">
        <v>15</v>
      </c>
      <c r="D24" s="6">
        <v>0</v>
      </c>
      <c r="E24" s="6">
        <v>0</v>
      </c>
      <c r="F24" s="88">
        <v>0</v>
      </c>
      <c r="G24" s="4"/>
      <c r="H24" s="8"/>
      <c r="I24" s="8"/>
      <c r="J24" s="8"/>
      <c r="K24" s="8"/>
      <c r="L24" s="8"/>
    </row>
    <row r="25" spans="2:12" ht="30" customHeight="true" thickBot="true">
      <c r="B25" s="13"/>
      <c r="C25" s="11"/>
      <c r="D25" s="7"/>
      <c r="E25" s="7"/>
      <c r="F25" s="89"/>
      <c r="G25" s="4"/>
      <c r="H25" s="8"/>
      <c r="I25" s="8"/>
      <c r="J25" s="8"/>
      <c r="K25" s="8"/>
      <c r="L25" s="8"/>
    </row>
    <row r="26" spans="2:12" ht="30" customHeight="true" thickTop="true">
      <c r="B26" s="13"/>
      <c r="C26" s="9"/>
      <c r="D26" s="10"/>
      <c r="E26" s="10"/>
      <c r="F26" s="86"/>
      <c r="G26" s="4"/>
      <c r="H26" s="8"/>
      <c r="I26" s="8"/>
      <c r="J26" s="8"/>
      <c r="K26" s="8"/>
      <c r="L26" s="8"/>
    </row>
    <row r="27" spans="2:12" ht="35.1" customHeight="true">
      <c r="B27" s="13"/>
      <c r="C27" s="5" t="s">
        <v>19</v>
      </c>
      <c r="D27" s="13"/>
      <c r="E27" s="13"/>
      <c r="F27" s="13"/>
      <c r="G27" s="13"/>
      <c r="H27" s="13"/>
      <c r="I27" s="13"/>
      <c r="J27" s="13"/>
      <c r="K27" s="13"/>
      <c r="L27" s="13"/>
    </row>
    <row r="28" spans="2:12" ht="24.95" customHeight="true" thickBot="true">
      <c r="B28" s="54" t="s">
        <v>20</v>
      </c>
      <c r="C28" s="55" t="s">
        <v>22</v>
      </c>
      <c r="D28" s="56" t="s">
        <v>24</v>
      </c>
      <c r="E28" s="55"/>
      <c r="F28" s="55" t="s">
        <v>25</v>
      </c>
      <c r="G28" s="57" t="s">
        <v>29</v>
      </c>
      <c r="H28" s="58" t="s">
        <v>21</v>
      </c>
      <c r="I28" s="54"/>
      <c r="J28" s="54"/>
      <c r="K28" s="59"/>
      <c r="L28" s="60"/>
    </row>
    <row r="29" spans="2:12" ht="42" customHeight="true" thickTop="true">
      <c r="B29" s="99">
        <v>1</v>
      </c>
      <c r="C29" s="26" t="s">
        <v>98</v>
      </c>
      <c r="D29" s="27" t="s">
        <v>27</v>
      </c>
      <c r="E29" s="28"/>
      <c r="F29" s="29">
        <v>0</v>
      </c>
      <c r="G29" s="47" t="s" cm="1">
        <v>215</v>
      </c>
      <c r="H29" s="119" t="s">
        <v>216</v>
      </c>
      <c r="I29" s="119"/>
      <c r="J29" s="119"/>
      <c r="K29" s="119"/>
      <c r="L29" s="50" t="str">
        <f>HYPERLINK("#OS!C11","Detail")</f>
      </c>
    </row>
    <row r="30" spans="2:12" ht="42" customHeight="true">
      <c r="B30" s="100">
        <v>2</v>
      </c>
      <c r="C30" s="31" t="s">
        <v>96</v>
      </c>
      <c r="D30" s="32" t="s">
        <v>96</v>
      </c>
      <c r="E30" s="31"/>
      <c r="F30" s="33">
        <v>0</v>
      </c>
      <c r="G30" s="48" t="s" cm="1">
        <v>215</v>
      </c>
      <c r="H30" s="116" t="s">
        <v>217</v>
      </c>
      <c r="I30" s="116"/>
      <c r="J30" s="116"/>
      <c r="K30" s="116"/>
      <c r="L30" s="51" t="str">
        <f>HYPERLINK("#DB!C39","Detail")</f>
      </c>
    </row>
    <row r="31" spans="2:12" ht="42" customHeight="true">
      <c r="B31" s="99">
        <v>3</v>
      </c>
      <c r="C31" s="28" t="s">
        <v>98</v>
      </c>
      <c r="D31" s="34" t="s">
        <v>27</v>
      </c>
      <c r="E31" s="28"/>
      <c r="F31" s="29">
        <v>5</v>
      </c>
      <c r="G31" s="47" t="s">
        <v>31</v>
      </c>
      <c r="H31" s="115" t="s">
        <v>218</v>
      </c>
      <c r="I31" s="115"/>
      <c r="J31" s="115"/>
      <c r="K31" s="115"/>
      <c r="L31" s="50" t="str">
        <f>HYPERLINK("#OS!C11","Detail")</f>
      </c>
    </row>
    <row r="32" spans="2:12" ht="42" customHeight="true">
      <c r="B32" s="100">
        <v>4</v>
      </c>
      <c r="C32" s="31" t="s">
        <v>98</v>
      </c>
      <c r="D32" s="32" t="s">
        <v>219</v>
      </c>
      <c r="E32" s="31"/>
      <c r="F32" s="33">
        <v>5</v>
      </c>
      <c r="G32" s="48" t="s">
        <v>31</v>
      </c>
      <c r="H32" s="116" t="s">
        <v>220</v>
      </c>
      <c r="I32" s="116"/>
      <c r="J32" s="116"/>
      <c r="K32" s="116"/>
      <c r="L32" s="51" t="str">
        <f>HYPERLINK("#OS!C12","Detail")</f>
      </c>
    </row>
    <row r="33" spans="2:12" ht="42" customHeight="true">
      <c r="B33" s="101">
        <v>5</v>
      </c>
      <c r="C33" s="35" t="s">
        <v>98</v>
      </c>
      <c r="D33" s="34" t="s">
        <v>34</v>
      </c>
      <c r="E33" s="35"/>
      <c r="F33" s="36">
        <v>5</v>
      </c>
      <c r="G33" s="49" t="s">
        <v>31</v>
      </c>
      <c r="H33" s="115" t="s">
        <v>221</v>
      </c>
      <c r="I33" s="115"/>
      <c r="J33" s="115"/>
      <c r="K33" s="115"/>
      <c r="L33" s="52" t="str">
        <f>HYPERLINK("#OS!C17","Detail")</f>
      </c>
    </row>
    <row r="34" spans="2:12" ht="42" customHeight="true">
      <c r="B34" s="102">
        <v>6</v>
      </c>
      <c r="C34" s="103" t="s">
        <v>98</v>
      </c>
      <c r="D34" s="103" t="s">
        <v>222</v>
      </c>
      <c r="E34" s="103"/>
      <c r="F34" s="96">
        <v>5</v>
      </c>
      <c r="G34" s="103" t="s">
        <v>31</v>
      </c>
      <c r="H34" s="116" t="s">
        <v>223</v>
      </c>
      <c r="I34" s="116"/>
      <c r="J34" s="116"/>
      <c r="K34" s="116"/>
      <c r="L34" s="53" t="str">
        <f>HYPERLINK("#OS!C20","Detail")</f>
      </c>
    </row>
    <row r="35" spans="2:12" ht="42" customHeight="true">
      <c r="B35" s="101">
        <v>7</v>
      </c>
      <c r="C35" s="35" t="s">
        <v>98</v>
      </c>
      <c r="D35" s="34" t="s">
        <v>224</v>
      </c>
      <c r="E35" s="35"/>
      <c r="F35" s="36">
        <v>5</v>
      </c>
      <c r="G35" s="49" t="s">
        <v>31</v>
      </c>
      <c r="H35" s="115" t="s">
        <v>225</v>
      </c>
      <c r="I35" s="115"/>
      <c r="J35" s="115"/>
      <c r="K35" s="115"/>
      <c r="L35" s="52" t="str">
        <f>HYPERLINK("#OS!C26","Detail")</f>
      </c>
    </row>
    <row r="36" spans="2:12" ht="42" customHeight="true">
      <c r="B36" s="100">
        <v>8</v>
      </c>
      <c r="C36" s="31" t="s">
        <v>98</v>
      </c>
      <c r="D36" s="32" t="s">
        <v>226</v>
      </c>
      <c r="E36" s="31"/>
      <c r="F36" s="33">
        <v>5</v>
      </c>
      <c r="G36" s="48" t="s">
        <v>31</v>
      </c>
      <c r="H36" s="116" t="s">
        <v>227</v>
      </c>
      <c r="I36" s="116"/>
      <c r="J36" s="116"/>
      <c r="K36" s="116"/>
      <c r="L36" s="51" t="str">
        <f>HYPERLINK("#OS!C27","Detail")</f>
      </c>
    </row>
    <row r="37" spans="2:12" ht="42" customHeight="true">
      <c r="B37" s="101">
        <v>9</v>
      </c>
      <c r="C37" s="35" t="s">
        <v>98</v>
      </c>
      <c r="D37" s="34" t="s">
        <v>228</v>
      </c>
      <c r="E37" s="35"/>
      <c r="F37" s="36">
        <v>5</v>
      </c>
      <c r="G37" s="49" t="s">
        <v>31</v>
      </c>
      <c r="H37" s="115" t="s">
        <v>229</v>
      </c>
      <c r="I37" s="115"/>
      <c r="J37" s="115"/>
      <c r="K37" s="115"/>
      <c r="L37" s="52" t="str">
        <f>HYPERLINK("#OS!C29","Detail")</f>
      </c>
    </row>
    <row r="38" spans="2:12" ht="42" customHeight="true">
      <c r="B38" s="102">
        <v>10</v>
      </c>
      <c r="C38" s="103" t="s">
        <v>98</v>
      </c>
      <c r="D38" s="103" t="s">
        <v>230</v>
      </c>
      <c r="E38" s="103"/>
      <c r="F38" s="96">
        <v>5</v>
      </c>
      <c r="G38" s="103" t="s">
        <v>31</v>
      </c>
      <c r="H38" s="116" t="s">
        <v>231</v>
      </c>
      <c r="I38" s="116"/>
      <c r="J38" s="116"/>
      <c r="K38" s="116"/>
      <c r="L38" s="53" t="str">
        <f>HYPERLINK("#OS!C30","Detail")</f>
      </c>
    </row>
    <row r="39" spans="2:12" ht="42" customHeight="true">
      <c r="B39" s="101">
        <v>11</v>
      </c>
      <c r="C39" s="35" t="s">
        <v>98</v>
      </c>
      <c r="D39" s="34" t="s">
        <v>27</v>
      </c>
      <c r="E39" s="35"/>
      <c r="F39" s="36">
        <v>5</v>
      </c>
      <c r="G39" s="49" t="s">
        <v>31</v>
      </c>
      <c r="H39" s="115" t="s">
        <v>232</v>
      </c>
      <c r="I39" s="115"/>
      <c r="J39" s="115"/>
      <c r="K39" s="115"/>
      <c r="L39" s="52" t="str">
        <f>HYPERLINK("#OS!C11","Detail")</f>
      </c>
    </row>
    <row r="40" spans="2:12" ht="42" customHeight="true">
      <c r="B40" s="100">
        <v>12</v>
      </c>
      <c r="C40" s="31" t="s">
        <v>99</v>
      </c>
      <c r="D40" s="32" t="s">
        <v>233</v>
      </c>
      <c r="E40" s="31"/>
      <c r="F40" s="33">
        <v>5</v>
      </c>
      <c r="G40" s="48" t="s">
        <v>31</v>
      </c>
      <c r="H40" s="116" t="s">
        <v>234</v>
      </c>
      <c r="I40" s="116"/>
      <c r="J40" s="116"/>
      <c r="K40" s="116"/>
      <c r="L40" s="51" t="str">
        <f>HYPERLINK("#DB!C26","Detail")</f>
      </c>
    </row>
    <row r="41" spans="2:12" ht="42" customHeight="true">
      <c r="B41" s="101">
        <v>13</v>
      </c>
      <c r="C41" s="35" t="s">
        <v>101</v>
      </c>
      <c r="D41" s="34" t="s">
        <v>235</v>
      </c>
      <c r="E41" s="35"/>
      <c r="F41" s="36">
        <v>5</v>
      </c>
      <c r="G41" s="49" t="s">
        <v>31</v>
      </c>
      <c r="H41" s="115" t="s">
        <v>236</v>
      </c>
      <c r="I41" s="115"/>
      <c r="J41" s="115"/>
      <c r="K41" s="115"/>
      <c r="L41" s="52" t="str">
        <f>HYPERLINK("#Inst!C11","Detail")</f>
      </c>
    </row>
    <row r="42" spans="2:12" ht="42" customHeight="true">
      <c r="B42" s="100">
        <v>14</v>
      </c>
      <c r="C42" s="31" t="s">
        <v>97</v>
      </c>
      <c r="D42" s="32" t="s">
        <v>237</v>
      </c>
      <c r="E42" s="31"/>
      <c r="F42" s="33">
        <v>5</v>
      </c>
      <c r="G42" s="48" t="s">
        <v>31</v>
      </c>
      <c r="H42" s="116" t="s">
        <v>238</v>
      </c>
      <c r="I42" s="116"/>
      <c r="J42" s="116"/>
      <c r="K42" s="116"/>
      <c r="L42" s="51" t="str">
        <f>HYPERLINK("#DB!C29","Detail")</f>
      </c>
    </row>
    <row r="43" spans="2:12" ht="42" customHeight="true">
      <c r="B43" s="101">
        <v>15</v>
      </c>
      <c r="C43" s="35" t="s">
        <v>100</v>
      </c>
      <c r="D43" s="34" t="s">
        <v>239</v>
      </c>
      <c r="E43" s="35"/>
      <c r="F43" s="36">
        <v>5</v>
      </c>
      <c r="G43" s="49" t="s">
        <v>31</v>
      </c>
      <c r="H43" s="115" t="s">
        <v>240</v>
      </c>
      <c r="I43" s="115"/>
      <c r="J43" s="115"/>
      <c r="K43" s="115"/>
      <c r="L43" s="52" t="str">
        <f>HYPERLINK("#Inst!C9","Detail")</f>
      </c>
    </row>
    <row r="44" spans="2:12" ht="42" customHeight="true">
      <c r="B44" s="100">
        <v>16</v>
      </c>
      <c r="C44" s="31" t="s">
        <v>98</v>
      </c>
      <c r="D44" s="32" t="s">
        <v>27</v>
      </c>
      <c r="E44" s="31"/>
      <c r="F44" s="33">
        <v>8</v>
      </c>
      <c r="G44" s="48" t="s">
        <v>17</v>
      </c>
      <c r="H44" s="116" t="s">
        <v>241</v>
      </c>
      <c r="I44" s="116"/>
      <c r="J44" s="116"/>
      <c r="K44" s="116"/>
      <c r="L44" s="51" t="str">
        <f>HYPERLINK("#OS!C11","Detail")</f>
      </c>
    </row>
    <row r="45" spans="2:12" ht="42" customHeight="true">
      <c r="B45" s="101">
        <v>17</v>
      </c>
      <c r="C45" s="35" t="s">
        <v>98</v>
      </c>
      <c r="D45" s="34" t="s">
        <v>27</v>
      </c>
      <c r="E45" s="35"/>
      <c r="F45" s="36">
        <v>8</v>
      </c>
      <c r="G45" s="49" t="s">
        <v>17</v>
      </c>
      <c r="H45" s="115" t="s">
        <v>242</v>
      </c>
      <c r="I45" s="115"/>
      <c r="J45" s="115"/>
      <c r="K45" s="115"/>
      <c r="L45" s="52" t="str">
        <f>HYPERLINK("#OS!C11","Detail")</f>
      </c>
    </row>
    <row r="46" spans="2:12" ht="42" customHeight="true">
      <c r="B46" s="102">
        <v>18</v>
      </c>
      <c r="C46" s="103" t="s">
        <v>99</v>
      </c>
      <c r="D46" s="103" t="s">
        <v>243</v>
      </c>
      <c r="E46" s="103"/>
      <c r="F46" s="96">
        <v>8</v>
      </c>
      <c r="G46" s="103" t="s">
        <v>17</v>
      </c>
      <c r="H46" s="116" t="s">
        <v>244</v>
      </c>
      <c r="I46" s="116"/>
      <c r="J46" s="116"/>
      <c r="K46" s="116"/>
      <c r="L46" s="53" t="str">
        <f>HYPERLINK("#DB!C25","Detail")</f>
      </c>
    </row>
    <row r="47" spans="2:12" ht="42" customHeight="true">
      <c r="B47" s="101">
        <v>19</v>
      </c>
      <c r="C47" s="35" t="s">
        <v>101</v>
      </c>
      <c r="D47" s="34" t="s">
        <v>245</v>
      </c>
      <c r="E47" s="35"/>
      <c r="F47" s="36">
        <v>8</v>
      </c>
      <c r="G47" s="49" t="s">
        <v>17</v>
      </c>
      <c r="H47" s="115" t="s">
        <v>246</v>
      </c>
      <c r="I47" s="115"/>
      <c r="J47" s="115"/>
      <c r="K47" s="115"/>
      <c r="L47" s="52" t="str">
        <f>HYPERLINK("#Inst!C14","Detail")</f>
      </c>
    </row>
    <row r="48" spans="2:12" ht="42" customHeight="true">
      <c r="B48" s="100">
        <v>20</v>
      </c>
      <c r="C48" s="31" t="s">
        <v>97</v>
      </c>
      <c r="D48" s="32" t="s">
        <v>247</v>
      </c>
      <c r="E48" s="31"/>
      <c r="F48" s="33">
        <v>8</v>
      </c>
      <c r="G48" s="48" t="s">
        <v>17</v>
      </c>
      <c r="H48" s="116" t="s">
        <v>248</v>
      </c>
      <c r="I48" s="116"/>
      <c r="J48" s="116"/>
      <c r="K48" s="116"/>
      <c r="L48" s="51" t="str">
        <f>HYPERLINK("#DB!C30","Detail")</f>
      </c>
    </row>
    <row r="49" spans="2:12" ht="42" customHeight="true">
      <c r="B49" s="101">
        <v>21</v>
      </c>
      <c r="C49" s="35" t="s">
        <v>97</v>
      </c>
      <c r="D49" s="34" t="s">
        <v>249</v>
      </c>
      <c r="E49" s="35"/>
      <c r="F49" s="36">
        <v>8</v>
      </c>
      <c r="G49" s="49" t="s">
        <v>17</v>
      </c>
      <c r="H49" s="115" t="s">
        <v>250</v>
      </c>
      <c r="I49" s="115"/>
      <c r="J49" s="115"/>
      <c r="K49" s="115"/>
      <c r="L49" s="52" t="str">
        <f>HYPERLINK("#DB!C31","Detail")</f>
      </c>
    </row>
    <row r="50" spans="2:12" ht="42" customHeight="true">
      <c r="B50" s="100"/>
      <c r="C50" s="31"/>
      <c r="D50" s="32"/>
      <c r="E50" s="31"/>
      <c r="F50" s="33"/>
      <c r="G50" s="48"/>
      <c r="H50" s="116"/>
      <c r="I50" s="116"/>
      <c r="J50" s="116"/>
      <c r="K50" s="116"/>
      <c r="L50" s="51"/>
    </row>
    <row r="51" spans="2:12" ht="42" customHeight="true">
      <c r="B51" s="101"/>
      <c r="C51" s="35"/>
      <c r="D51" s="34"/>
      <c r="E51" s="35"/>
      <c r="F51" s="36"/>
      <c r="G51" s="49"/>
      <c r="H51" s="115"/>
      <c r="I51" s="115"/>
      <c r="J51" s="115"/>
      <c r="K51" s="115"/>
      <c r="L51" s="52"/>
    </row>
    <row r="52" spans="2:12" ht="42" customHeight="true">
      <c r="B52" s="100"/>
      <c r="C52" s="31"/>
      <c r="D52" s="32"/>
      <c r="E52" s="31"/>
      <c r="F52" s="33"/>
      <c r="G52" s="48"/>
      <c r="H52" s="116"/>
      <c r="I52" s="116"/>
      <c r="J52" s="116"/>
      <c r="K52" s="116"/>
      <c r="L52" s="51"/>
    </row>
    <row r="53" spans="2:12" ht="42" customHeight="true">
      <c r="B53" s="101"/>
      <c r="C53" s="35"/>
      <c r="D53" s="34"/>
      <c r="E53" s="35"/>
      <c r="F53" s="36"/>
      <c r="G53" s="49"/>
      <c r="H53" s="115"/>
      <c r="I53" s="115"/>
      <c r="J53" s="115"/>
      <c r="K53" s="115"/>
      <c r="L53" s="52"/>
    </row>
    <row r="54" spans="2:12" ht="42" customHeight="true">
      <c r="B54" s="100"/>
      <c r="C54" s="31"/>
      <c r="D54" s="32"/>
      <c r="E54" s="31"/>
      <c r="F54" s="33"/>
      <c r="G54" s="48"/>
      <c r="H54" s="125" t="s">
        <v>149</v>
      </c>
      <c r="I54" s="125"/>
      <c r="J54" s="125"/>
      <c r="K54" s="125"/>
      <c r="L54" s="51"/>
    </row>
    <row r="55" spans="2:12" ht="9" customHeight="true">
      <c r="B55" s="99"/>
      <c r="C55" s="28"/>
      <c r="D55" s="34"/>
      <c r="E55" s="28"/>
      <c r="F55" s="29"/>
      <c r="G55" s="47"/>
      <c r="H55" s="124"/>
      <c r="I55" s="124"/>
      <c r="J55" s="124"/>
      <c r="K55" s="124"/>
      <c r="L55" s="50"/>
    </row>
    <row r="56" spans="2:12" ht="5.25" customHeight="true" thickBot="true">
      <c r="B56" s="54"/>
      <c r="C56" s="55"/>
      <c r="D56" s="56"/>
      <c r="E56" s="55"/>
      <c r="F56" s="55"/>
      <c r="G56" s="57"/>
      <c r="H56" s="58"/>
      <c r="I56" s="54"/>
      <c r="J56" s="54"/>
      <c r="K56" s="59"/>
      <c r="L56" s="60"/>
    </row>
    <row r="57" spans="2:12" ht="12.75" customHeight="true" thickTop="true">
      <c r="B57" s="30"/>
      <c r="C57" s="104"/>
      <c r="D57" s="104"/>
      <c r="E57" s="105"/>
      <c r="F57" s="106"/>
      <c r="G57" s="107"/>
      <c r="H57" s="122"/>
      <c r="I57" s="122"/>
      <c r="J57" s="122"/>
      <c r="K57" s="122"/>
      <c r="L57" s="51"/>
    </row>
    <row r="58" spans="2:12" ht="39.95" customHeight="true">
      <c r="H58" s="123"/>
      <c r="I58" s="123"/>
      <c r="J58" s="123"/>
      <c r="K58" s="123"/>
    </row>
    <row r="59" spans="2:12" ht="39.95" customHeight="true">
      <c r="H59" s="120"/>
      <c r="I59" s="120"/>
      <c r="J59" s="121"/>
      <c r="K59" s="120"/>
    </row>
    <row r="60" spans="2:12" ht="39.95" customHeight="true">
      <c r="J60" s="14"/>
      <c r="K60" s="97"/>
    </row>
    <row r="61" spans="2:12" ht="39.95" customHeight="true">
      <c r="J61" s="14"/>
    </row>
    <row r="62" spans="2:12" ht="39.95" customHeight="true"/>
    <row r="63" spans="2:12" ht="15"/>
    <row r="64" spans="2:12" ht="39.95" customHeight="true"/>
    <row r="65" spans="2:12" ht="39.95" customHeight="true">
      <c r="J65" s="14"/>
    </row>
    <row r="66" spans="2:12" ht="39.95" customHeight="true">
      <c r="J66" s="14"/>
    </row>
    <row r="67" spans="2:12" ht="39.95" customHeight="true">
      <c r="J67" s="14"/>
    </row>
  </sheetData>
  <dataConsolidate/>
  <mergeCells count="46">
    <mergeCell ref="H57:K57"/>
    <mergeCell ref="H58:K58"/>
    <mergeCell ref="H55:K55"/>
    <mergeCell ref="H50:K50"/>
    <mergeCell ref="H51:K51"/>
    <mergeCell ref="H52:K52"/>
    <mergeCell ref="H53:K53"/>
    <mergeCell ref="H54:K54"/>
    <mergeCell ref="H59:K59"/>
    <mergeCell ref="H47:K47"/>
    <mergeCell ref="H48:K48"/>
    <mergeCell ref="H49:K49"/>
    <mergeCell ref="J11:K11"/>
    <mergeCell ref="H32:K32"/>
    <mergeCell ref="E9:F9"/>
    <mergeCell ref="E10:F10"/>
    <mergeCell ref="E11:F11"/>
    <mergeCell ref="H29:K29"/>
    <mergeCell ref="H30:K30"/>
    <mergeCell ref="H31:K31"/>
    <mergeCell ref="E8:F8"/>
    <mergeCell ref="J8:K8"/>
    <mergeCell ref="J9:K9"/>
    <mergeCell ref="J10:K10"/>
    <mergeCell ref="J4:K4"/>
    <mergeCell ref="J5:K5"/>
    <mergeCell ref="J6:K6"/>
    <mergeCell ref="J7:K7"/>
    <mergeCell ref="E4:F4"/>
    <mergeCell ref="E5:F5"/>
    <mergeCell ref="E6:F6"/>
    <mergeCell ref="E7:F7"/>
    <mergeCell ref="H33:K33"/>
    <mergeCell ref="H46:K46"/>
    <mergeCell ref="H43:K43"/>
    <mergeCell ref="H45:K45"/>
    <mergeCell ref="H34:K34"/>
    <mergeCell ref="H36:K36"/>
    <mergeCell ref="H38:K38"/>
    <mergeCell ref="H40:K40"/>
    <mergeCell ref="H42:K42"/>
    <mergeCell ref="H44:K44"/>
    <mergeCell ref="H41:K41"/>
    <mergeCell ref="H39:K39"/>
    <mergeCell ref="H37:K37"/>
    <mergeCell ref="H35:K35"/>
  </mergeCells>
  <phoneticPr fontId="14" type="noConversion"/>
  <dataValidations count="1" xWindow="250" yWindow="706">
    <dataValidation allowBlank="true" prompt="Purchasing Progress bar is in cells E5 through H7" showErrorMessage="true" showInputMessage="true" sqref="P7:P7"/>
  </dataValidations>
  <printOptions horizontalCentered="true"/>
  <pageMargins left="0.7" right="0.7" top="0.75" bottom="0.75" header="0.3" footer="0.3"/>
  <pageSetup fitToHeight="0" r:id="rId1" orientation="portrait" scale="58"/>
  <headerFooter differentFirst="true">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iconSet" priority="4" id="{5A0B404C-F42C-4492-B16D-3985957F87AE}">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F83:F85 F29:F81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A4F4-B1FA-4569-9A5C-4430E8288027}">
  <dimension ref="A1:AB30"/>
  <sheetViews>
    <sheetView zoomScaleNormal="100" workbookViewId="0">
      <pane activePane="bottomRight" state="frozen" topLeftCell="B3" xSplit="1" ySplit="2"/>
      <selection activeCell="B1" pane="topRight" sqref="B1"/>
      <selection activeCell="A2" pane="bottomLeft" sqref="A2"/>
      <selection activeCell="E7" pane="bottomRight" sqref="E7"/>
    </sheetView>
  </sheetViews>
  <sheetFormatPr defaultRowHeight="15.75"/>
  <cols>
    <col bestFit="true" customWidth="true" max="1" min="1" style="64" width="15.375"/>
    <col customWidth="true" max="2" min="2" style="81" width="7.625"/>
    <col customWidth="true" max="4" min="3" style="45" width="90.625"/>
    <col customWidth="true" max="5" min="5" style="24" width="9"/>
    <col customWidth="true" max="28" min="6" style="24" width="70"/>
    <col max="16384" min="29" style="25" width="9"/>
  </cols>
  <sheetData>
    <row r="1" spans="1:28">
      <c r="A1" s="90" t="s">
        <v>106</v>
      </c>
      <c r="B1" s="90" t="s">
        <v>105</v>
      </c>
      <c r="C1" s="90" t="s">
        <v>160</v>
      </c>
      <c r="D1" s="90"/>
    </row>
    <row r="2" spans="1:28" s="62" customFormat="true" ht="17.25">
      <c r="A2" s="63" t="s">
        <v>33</v>
      </c>
      <c r="B2" s="76">
        <v>10</v>
      </c>
      <c r="C2" s="67" t="s">
        <v>150</v>
      </c>
      <c r="D2" s="46"/>
      <c r="E2" s="61"/>
      <c r="F2" s="61"/>
      <c r="G2" s="61"/>
      <c r="H2" s="61"/>
      <c r="I2" s="61"/>
      <c r="J2" s="61"/>
      <c r="K2" s="61"/>
      <c r="L2" s="61"/>
      <c r="M2" s="61"/>
      <c r="N2" s="61"/>
      <c r="O2" s="61"/>
      <c r="P2" s="61"/>
      <c r="Q2" s="61"/>
      <c r="R2" s="61"/>
      <c r="S2" s="61"/>
      <c r="T2" s="61"/>
      <c r="U2" s="61"/>
      <c r="V2" s="61"/>
      <c r="W2" s="61"/>
      <c r="X2" s="61"/>
      <c r="Y2" s="61"/>
      <c r="Z2" s="61"/>
      <c r="AA2" s="61"/>
      <c r="AB2" s="61"/>
    </row>
    <row r="3" spans="1:28" ht="17.25">
      <c r="A3" s="63" t="s">
        <v>35</v>
      </c>
      <c r="B3" s="77">
        <v>10</v>
      </c>
      <c r="C3" s="70" t="s">
        <v>151</v>
      </c>
      <c r="D3" s="71"/>
    </row>
    <row r="4" spans="1:28" ht="17.25">
      <c r="A4" s="63" t="s">
        <v>87</v>
      </c>
      <c r="B4" s="78">
        <v>10</v>
      </c>
      <c r="C4" s="73" t="s">
        <v>82</v>
      </c>
      <c r="D4" s="75"/>
    </row>
    <row r="5" spans="1:28" ht="17.25">
      <c r="A5" s="63" t="s">
        <v>38</v>
      </c>
      <c r="B5" s="79">
        <v>10</v>
      </c>
      <c r="C5" s="72" t="s">
        <v>152</v>
      </c>
      <c r="D5" s="74"/>
    </row>
    <row r="6" spans="1:28" ht="17.25">
      <c r="A6" s="63" t="s">
        <v>76</v>
      </c>
      <c r="B6" s="78">
        <v>10</v>
      </c>
      <c r="C6" s="73" t="s">
        <v>153</v>
      </c>
      <c r="D6" s="75"/>
    </row>
    <row r="7" spans="1:28" ht="17.25">
      <c r="A7" s="63" t="s">
        <v>77</v>
      </c>
      <c r="B7" s="79">
        <v>10</v>
      </c>
      <c r="C7" s="72" t="s">
        <v>161</v>
      </c>
      <c r="D7" s="74"/>
      <c r="E7" s="37"/>
    </row>
    <row r="8" spans="1:28" ht="17.25">
      <c r="A8" s="63" t="s">
        <v>39</v>
      </c>
      <c r="B8" s="78">
        <v>10</v>
      </c>
      <c r="C8" s="73" t="s">
        <v>154</v>
      </c>
      <c r="D8" s="75"/>
    </row>
    <row r="9" spans="1:28" ht="17.25">
      <c r="A9" s="63" t="s">
        <v>86</v>
      </c>
      <c r="B9" s="79">
        <v>10</v>
      </c>
      <c r="C9" s="72" t="s">
        <v>155</v>
      </c>
      <c r="D9" s="74"/>
    </row>
    <row r="10" spans="1:28" ht="17.25">
      <c r="A10" s="63" t="s">
        <v>40</v>
      </c>
      <c r="B10" s="78">
        <v>10</v>
      </c>
      <c r="C10" s="73" t="s">
        <v>85</v>
      </c>
      <c r="D10" s="75"/>
    </row>
    <row r="11" spans="1:28" ht="17.25">
      <c r="A11" s="63" t="s">
        <v>27</v>
      </c>
      <c r="B11" s="79">
        <v>0</v>
      </c>
      <c r="C11" s="132" t="s">
        <v>162</v>
      </c>
      <c r="D11" s="74"/>
    </row>
    <row r="12" spans="1:28" ht="17.25">
      <c r="A12" s="63" t="s">
        <v>41</v>
      </c>
      <c r="B12" s="78">
        <v>5</v>
      </c>
      <c r="C12" s="131" t="s">
        <v>163</v>
      </c>
      <c r="D12" s="75"/>
    </row>
    <row r="13" spans="1:28" ht="17.25">
      <c r="A13" s="63" t="s">
        <v>36</v>
      </c>
      <c r="B13" s="79">
        <v>10</v>
      </c>
      <c r="C13" s="72" t="s">
        <v>164</v>
      </c>
      <c r="D13" s="74"/>
    </row>
    <row r="14" spans="1:28" ht="17.25">
      <c r="A14" s="63" t="s">
        <v>26</v>
      </c>
      <c r="B14" s="78">
        <v>10</v>
      </c>
      <c r="C14" s="73" t="s">
        <v>165</v>
      </c>
      <c r="D14" s="75"/>
    </row>
    <row r="15" spans="1:28" ht="17.25">
      <c r="A15" s="63" t="s">
        <v>42</v>
      </c>
      <c r="B15" s="79">
        <v>10</v>
      </c>
      <c r="C15" s="72" t="s">
        <v>166</v>
      </c>
      <c r="D15" s="74"/>
    </row>
    <row r="16" spans="1:28" ht="17.25">
      <c r="A16" s="63" t="s">
        <v>72</v>
      </c>
      <c r="B16" s="78">
        <v>10</v>
      </c>
      <c r="C16" s="73" t="s">
        <v>167</v>
      </c>
      <c r="D16" s="75"/>
    </row>
    <row r="17" spans="1:4" ht="17.25">
      <c r="A17" s="63" t="s">
        <v>34</v>
      </c>
      <c r="B17" s="79">
        <v>5</v>
      </c>
      <c r="C17" s="131" t="s">
        <v>168</v>
      </c>
      <c r="D17" s="74"/>
    </row>
    <row r="18" spans="1:4" ht="17.25">
      <c r="A18" s="63" t="s">
        <v>44</v>
      </c>
      <c r="B18" s="78">
        <v>10</v>
      </c>
      <c r="C18" s="73" t="s">
        <v>169</v>
      </c>
      <c r="D18" s="75"/>
    </row>
    <row r="19" spans="1:4" ht="17.25">
      <c r="A19" s="63" t="s">
        <v>43</v>
      </c>
      <c r="B19" s="79">
        <v>10</v>
      </c>
      <c r="C19" s="72" t="s">
        <v>170</v>
      </c>
      <c r="D19" s="74"/>
    </row>
    <row r="20" spans="1:4" ht="17.25">
      <c r="A20" s="63" t="s">
        <v>45</v>
      </c>
      <c r="B20" s="78">
        <v>5</v>
      </c>
      <c r="C20" s="131" t="s">
        <v>171</v>
      </c>
      <c r="D20" s="75"/>
    </row>
    <row r="21" spans="1:4" ht="17.25">
      <c r="A21" s="63" t="s">
        <v>46</v>
      </c>
      <c r="B21" s="79">
        <v>10</v>
      </c>
      <c r="C21" s="72" t="s">
        <v>172</v>
      </c>
      <c r="D21" s="74"/>
    </row>
    <row r="22" spans="1:4" ht="17.25">
      <c r="A22" s="63" t="s">
        <v>47</v>
      </c>
      <c r="B22" s="78">
        <v>10</v>
      </c>
      <c r="C22" s="73" t="s">
        <v>173</v>
      </c>
      <c r="D22" s="75"/>
    </row>
    <row r="23" spans="1:4" ht="17.25">
      <c r="A23" s="63" t="s">
        <v>48</v>
      </c>
      <c r="B23" s="79">
        <v>10</v>
      </c>
      <c r="C23" s="72" t="s">
        <v>174</v>
      </c>
      <c r="D23" s="74"/>
    </row>
    <row r="24" spans="1:4" ht="17.25">
      <c r="A24" s="63" t="s">
        <v>78</v>
      </c>
      <c r="B24" s="78">
        <v>10</v>
      </c>
      <c r="C24" s="73" t="s">
        <v>175</v>
      </c>
      <c r="D24" s="75"/>
    </row>
    <row r="25" spans="1:4" ht="17.25">
      <c r="A25" s="63" t="s">
        <v>79</v>
      </c>
      <c r="B25" s="79">
        <v>10</v>
      </c>
      <c r="C25" s="72" t="s">
        <v>176</v>
      </c>
      <c r="D25" s="74"/>
    </row>
    <row r="26" spans="1:4" ht="17.25">
      <c r="A26" s="63" t="s">
        <v>111</v>
      </c>
      <c r="B26" s="78">
        <v>5</v>
      </c>
      <c r="C26" s="131" t="s">
        <v>177</v>
      </c>
      <c r="D26" s="75"/>
    </row>
    <row r="27" spans="1:4" ht="17.25">
      <c r="A27" s="63" t="s">
        <v>110</v>
      </c>
      <c r="B27" s="79">
        <v>5</v>
      </c>
      <c r="C27" s="131" t="s">
        <v>178</v>
      </c>
      <c r="D27" s="74"/>
    </row>
    <row r="28" spans="1:4" ht="17.25">
      <c r="A28" s="63" t="s">
        <v>109</v>
      </c>
      <c r="B28" s="78">
        <v>10</v>
      </c>
      <c r="C28" s="73" t="s">
        <v>179</v>
      </c>
      <c r="D28" s="75"/>
    </row>
    <row r="29" spans="1:4" ht="17.25">
      <c r="A29" s="63" t="s">
        <v>108</v>
      </c>
      <c r="B29" s="79">
        <v>5</v>
      </c>
      <c r="C29" s="131" t="s">
        <v>180</v>
      </c>
      <c r="D29" s="74"/>
    </row>
    <row r="30" spans="1:4" ht="17.25">
      <c r="A30" s="63" t="s">
        <v>107</v>
      </c>
      <c r="B30" s="80">
        <v>5</v>
      </c>
      <c r="C30" s="131" t="s">
        <v>181</v>
      </c>
      <c r="D30" s="68"/>
    </row>
  </sheetData>
  <phoneticPr fontId="14" type="noConversion"/>
  <dataValidations count="1">
    <dataValidation allowBlank="true" prompt="吞吞吐吐他" showErrorMessage="true" showInputMessage="true" sqref="B16:C16"/>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 id="{D97E0F2E-7D04-46E3-B6D0-66B86A3C3DF0}">
            <x14:iconSet iconSet="4Rating" showValue="0" custom="1">
              <x14:cfvo type="percent">
                <xm:f>0</xm:f>
              </x14:cfvo>
              <x14:cfvo type="percent">
                <xm:f>5</xm:f>
              </x14:cfvo>
              <x14:cfvo type="percent">
                <xm:f>8</xm:f>
              </x14:cfvo>
              <x14:cfvo type="num">
                <xm:f>10</xm:f>
              </x14:cfvo>
              <x14:cfIcon iconSet="3Symbols" iconId="0"/>
              <x14:cfIcon iconSet="3Flags" iconId="0"/>
              <x14:cfIcon iconSet="3Symbols" iconId="1"/>
              <x14:cfIcon iconSet="3Symbols" iconId="2"/>
            </x14:iconSet>
          </x14:cfRule>
          <xm:sqref>B2:B30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7FAC-338D-40AE-9A03-D56E1C0E6070}">
  <dimension ref="A1:AB48"/>
  <sheetViews>
    <sheetView zoomScaleNormal="100" workbookViewId="0">
      <pane activePane="bottomRight" state="frozen" topLeftCell="B19" xSplit="1" ySplit="2"/>
      <selection activeCell="B3" sqref="B3"/>
      <selection activeCell="B3" pane="topRight" sqref="B3"/>
      <selection activeCell="B3" pane="bottomLeft" sqref="B3"/>
      <selection activeCell="A29" pane="bottomRight" sqref="A29"/>
    </sheetView>
  </sheetViews>
  <sheetFormatPr defaultRowHeight="15.75"/>
  <cols>
    <col bestFit="true" customWidth="true" max="1" min="1" style="64" width="19.25"/>
    <col bestFit="true" customWidth="true" max="2" min="2" style="82" width="7.875"/>
    <col customWidth="true" max="4" min="3" style="45" width="90.625"/>
    <col customWidth="true" max="27" min="5" style="24" width="87.5"/>
    <col max="16384" min="28" style="25" width="9"/>
  </cols>
  <sheetData>
    <row r="1" spans="1:28">
      <c r="A1" s="90" t="s">
        <v>106</v>
      </c>
      <c r="B1" s="90" t="s">
        <v>105</v>
      </c>
      <c r="C1" s="90" t="s">
        <v>160</v>
      </c>
      <c r="D1" s="90"/>
      <c r="AB1" s="24"/>
    </row>
    <row r="2" spans="1:28" ht="17.25">
      <c r="A2" s="63" t="s">
        <v>49</v>
      </c>
      <c r="B2" s="76">
        <v>10</v>
      </c>
      <c r="C2" s="67" t="s">
        <v>156</v>
      </c>
      <c r="D2" s="46"/>
    </row>
    <row r="3" spans="1:28" ht="17.25">
      <c r="A3" s="63" t="s">
        <v>37</v>
      </c>
      <c r="B3" s="77">
        <v>10</v>
      </c>
      <c r="C3" s="70" t="s">
        <v>6</v>
      </c>
      <c r="D3" s="71"/>
      <c r="AB3" s="24"/>
    </row>
    <row r="4" spans="1:28" ht="17.25">
      <c r="A4" s="63" t="s">
        <v>52</v>
      </c>
      <c r="B4" s="78">
        <v>10</v>
      </c>
      <c r="C4" s="73" t="s">
        <v>157</v>
      </c>
      <c r="D4" s="75"/>
    </row>
    <row r="5" spans="1:28" ht="17.25">
      <c r="A5" s="63" t="s">
        <v>61</v>
      </c>
      <c r="B5" s="79">
        <v>10</v>
      </c>
      <c r="C5" s="72" t="s">
        <v>182</v>
      </c>
      <c r="D5" s="74"/>
    </row>
    <row r="6" spans="1:28" ht="17.25">
      <c r="A6" s="63" t="s">
        <v>64</v>
      </c>
      <c r="B6" s="78">
        <v>10</v>
      </c>
      <c r="C6" s="73" t="s">
        <v>158</v>
      </c>
      <c r="D6" s="75"/>
    </row>
    <row r="7" spans="1:28" ht="17.25">
      <c r="A7" s="63" t="s">
        <v>53</v>
      </c>
      <c r="B7" s="79">
        <v>10</v>
      </c>
      <c r="C7" s="72" t="s">
        <v>8</v>
      </c>
      <c r="D7" s="74"/>
    </row>
    <row r="8" spans="1:28" ht="17.25">
      <c r="A8" s="63" t="s">
        <v>54</v>
      </c>
      <c r="B8" s="78">
        <v>10</v>
      </c>
      <c r="C8" s="73" t="s">
        <v>183</v>
      </c>
      <c r="D8" s="75"/>
    </row>
    <row r="9" spans="1:28" ht="17.25">
      <c r="A9" s="63" t="s">
        <v>132</v>
      </c>
      <c r="B9" s="79">
        <v>10</v>
      </c>
      <c r="C9" s="72" t="s">
        <v>159</v>
      </c>
      <c r="D9" s="74"/>
    </row>
    <row r="10" spans="1:28" ht="17.25">
      <c r="A10" s="63" t="s">
        <v>90</v>
      </c>
      <c r="B10" s="78">
        <v>10</v>
      </c>
      <c r="C10" s="73" t="s">
        <v>184</v>
      </c>
      <c r="D10" s="75"/>
    </row>
    <row r="11" spans="1:28" ht="17.25">
      <c r="A11" s="63" t="s">
        <v>55</v>
      </c>
      <c r="B11" s="79">
        <v>10</v>
      </c>
      <c r="C11" s="72" t="s">
        <v>185</v>
      </c>
      <c r="D11" s="74"/>
    </row>
    <row r="12" spans="1:28" ht="17.25">
      <c r="A12" s="63" t="s">
        <v>112</v>
      </c>
      <c r="B12" s="78">
        <v>10</v>
      </c>
      <c r="C12" s="73" t="s">
        <v>186</v>
      </c>
      <c r="D12" s="75"/>
    </row>
    <row r="13" spans="1:28" ht="17.25">
      <c r="A13" s="63" t="s">
        <v>131</v>
      </c>
      <c r="B13" s="79">
        <v>10</v>
      </c>
      <c r="C13" s="72" t="s">
        <v>187</v>
      </c>
      <c r="D13" s="74"/>
    </row>
    <row r="14" spans="1:28" ht="17.25">
      <c r="A14" s="63" t="s">
        <v>56</v>
      </c>
      <c r="B14" s="78">
        <v>10</v>
      </c>
      <c r="C14" s="73" t="s">
        <v>188</v>
      </c>
      <c r="D14" s="75"/>
    </row>
    <row r="15" spans="1:28" ht="17.25">
      <c r="A15" s="63" t="s">
        <v>7</v>
      </c>
      <c r="B15" s="79">
        <v>10</v>
      </c>
      <c r="C15" s="72" t="s">
        <v>13</v>
      </c>
      <c r="D15" s="74"/>
    </row>
    <row r="16" spans="1:28" ht="17.25">
      <c r="A16" s="63" t="s">
        <v>28</v>
      </c>
      <c r="B16" s="78">
        <v>10</v>
      </c>
      <c r="C16" s="73" t="s">
        <v>189</v>
      </c>
      <c r="D16" s="75"/>
    </row>
    <row r="17" spans="1:4" ht="17.25">
      <c r="A17" s="63" t="s">
        <v>113</v>
      </c>
      <c r="B17" s="79">
        <v>10</v>
      </c>
      <c r="C17" s="72" t="s">
        <v>190</v>
      </c>
      <c r="D17" s="74"/>
    </row>
    <row r="18" spans="1:4" ht="17.25">
      <c r="A18" s="63" t="s">
        <v>59</v>
      </c>
      <c r="B18" s="78">
        <v>10</v>
      </c>
      <c r="C18" s="73" t="s">
        <v>191</v>
      </c>
      <c r="D18" s="75"/>
    </row>
    <row r="19" spans="1:4" ht="17.25">
      <c r="A19" s="63" t="s">
        <v>58</v>
      </c>
      <c r="B19" s="79">
        <v>10</v>
      </c>
      <c r="C19" s="72" t="s">
        <v>192</v>
      </c>
      <c r="D19" s="74"/>
    </row>
    <row r="20" spans="1:4" ht="17.25">
      <c r="A20" s="63" t="s">
        <v>60</v>
      </c>
      <c r="B20" s="78">
        <v>10</v>
      </c>
      <c r="C20" s="73" t="s">
        <v>193</v>
      </c>
      <c r="D20" s="75"/>
    </row>
    <row r="21" spans="1:4" ht="17.25">
      <c r="A21" s="63" t="s">
        <v>50</v>
      </c>
      <c r="B21" s="79">
        <v>10</v>
      </c>
      <c r="C21" s="72" t="s">
        <v>194</v>
      </c>
      <c r="D21" s="74"/>
    </row>
    <row r="22" spans="1:4" ht="17.25">
      <c r="A22" s="63" t="s">
        <v>51</v>
      </c>
      <c r="B22" s="78">
        <v>10</v>
      </c>
      <c r="C22" s="73" t="s">
        <v>194</v>
      </c>
      <c r="D22" s="75"/>
    </row>
    <row r="23" spans="1:4" ht="17.25">
      <c r="A23" s="63" t="s">
        <v>116</v>
      </c>
      <c r="B23" s="79">
        <v>10</v>
      </c>
      <c r="C23" s="72" t="s">
        <v>194</v>
      </c>
      <c r="D23" s="74"/>
    </row>
    <row r="24" spans="1:4" ht="17.25">
      <c r="A24" s="63" t="s">
        <v>117</v>
      </c>
      <c r="B24" s="78">
        <v>10</v>
      </c>
      <c r="C24" s="73" t="s">
        <v>194</v>
      </c>
      <c r="D24" s="75"/>
    </row>
    <row r="25" spans="1:4" ht="17.25">
      <c r="A25" s="63" t="s">
        <v>114</v>
      </c>
      <c r="B25" s="79">
        <v>5</v>
      </c>
      <c r="C25" s="131" t="s">
        <v>195</v>
      </c>
      <c r="D25" s="74"/>
    </row>
    <row r="26" spans="1:4" ht="17.25">
      <c r="A26" s="63" t="s">
        <v>115</v>
      </c>
      <c r="B26" s="78">
        <v>10</v>
      </c>
      <c r="C26" s="73" t="s">
        <v>194</v>
      </c>
      <c r="D26" s="75"/>
    </row>
    <row r="27" spans="1:4" ht="17.25">
      <c r="A27" s="63" t="s">
        <v>62</v>
      </c>
      <c r="B27" s="79">
        <v>10</v>
      </c>
      <c r="C27" s="72" t="s">
        <v>196</v>
      </c>
      <c r="D27" s="74"/>
    </row>
    <row r="28" spans="1:4" ht="17.25">
      <c r="A28" s="63" t="s">
        <v>63</v>
      </c>
      <c r="B28" s="78">
        <v>10</v>
      </c>
      <c r="C28" s="73" t="s">
        <v>197</v>
      </c>
      <c r="D28" s="75"/>
    </row>
    <row r="29" spans="1:4" ht="17.25">
      <c r="A29" s="63" t="s">
        <v>118</v>
      </c>
      <c r="B29" s="79">
        <v>8</v>
      </c>
      <c r="C29" s="133" t="s">
        <v>198</v>
      </c>
      <c r="D29" s="74"/>
    </row>
    <row r="30" spans="1:4" ht="17.25">
      <c r="A30" s="63" t="s">
        <v>130</v>
      </c>
      <c r="B30" s="78">
        <v>8</v>
      </c>
      <c r="C30" s="133" t="s">
        <v>199</v>
      </c>
      <c r="D30" s="75"/>
    </row>
    <row r="31" spans="1:4" ht="17.25">
      <c r="A31" s="63" t="s">
        <v>119</v>
      </c>
      <c r="B31" s="79">
        <v>8</v>
      </c>
      <c r="C31" s="133" t="s">
        <v>200</v>
      </c>
      <c r="D31" s="74"/>
    </row>
    <row r="32" spans="1:4" ht="17.25">
      <c r="A32" s="63" t="s">
        <v>120</v>
      </c>
      <c r="B32" s="78">
        <v>10</v>
      </c>
      <c r="C32" s="73" t="s">
        <v>194</v>
      </c>
      <c r="D32" s="75"/>
    </row>
    <row r="33" spans="1:4" ht="17.25">
      <c r="A33" s="63" t="s">
        <v>121</v>
      </c>
      <c r="B33" s="79">
        <v>10</v>
      </c>
      <c r="C33" s="72" t="s">
        <v>194</v>
      </c>
      <c r="D33" s="74"/>
    </row>
    <row r="34" spans="1:4" ht="17.25">
      <c r="A34" s="63" t="s">
        <v>122</v>
      </c>
      <c r="B34" s="78">
        <v>10</v>
      </c>
      <c r="C34" s="73" t="s">
        <v>201</v>
      </c>
      <c r="D34" s="75"/>
    </row>
    <row r="35" spans="1:4" ht="17.25">
      <c r="A35" s="63" t="s">
        <v>123</v>
      </c>
      <c r="B35" s="79">
        <v>10</v>
      </c>
      <c r="C35" s="72" t="s">
        <v>194</v>
      </c>
      <c r="D35" s="74"/>
    </row>
    <row r="36" spans="1:4" ht="17.25">
      <c r="A36" s="63" t="s">
        <v>124</v>
      </c>
      <c r="B36" s="78">
        <v>10</v>
      </c>
      <c r="C36" s="73" t="s">
        <v>164</v>
      </c>
      <c r="D36" s="75"/>
    </row>
    <row r="37" spans="1:4" ht="17.25">
      <c r="A37" s="63" t="s">
        <v>125</v>
      </c>
      <c r="B37" s="79">
        <v>10</v>
      </c>
      <c r="C37" s="72" t="s">
        <v>194</v>
      </c>
      <c r="D37" s="74"/>
    </row>
    <row r="38" spans="1:4" ht="17.25">
      <c r="A38" s="63" t="s">
        <v>126</v>
      </c>
      <c r="B38" s="78">
        <v>10</v>
      </c>
      <c r="C38" s="73" t="s">
        <v>202</v>
      </c>
      <c r="D38" s="75"/>
    </row>
    <row r="39" spans="1:4" ht="17.25">
      <c r="A39" s="63" t="s">
        <v>127</v>
      </c>
      <c r="B39" s="79">
        <v>0</v>
      </c>
      <c r="C39" s="132" t="s">
        <v>194</v>
      </c>
      <c r="D39" s="74"/>
    </row>
    <row r="40" spans="1:4" ht="17.25">
      <c r="A40" s="63" t="s">
        <v>91</v>
      </c>
      <c r="B40" s="78">
        <v>10</v>
      </c>
      <c r="C40" s="73" t="s">
        <v>164</v>
      </c>
      <c r="D40" s="75"/>
    </row>
    <row r="41" spans="1:4" ht="17.25">
      <c r="A41" s="63" t="s">
        <v>91</v>
      </c>
      <c r="B41" s="79">
        <v>10</v>
      </c>
      <c r="C41" s="72" t="s">
        <v>164</v>
      </c>
      <c r="D41" s="74"/>
    </row>
    <row r="42" spans="1:4" ht="17.25">
      <c r="A42" s="63" t="s">
        <v>92</v>
      </c>
      <c r="B42" s="78">
        <v>10</v>
      </c>
      <c r="C42" s="73" t="s">
        <v>164</v>
      </c>
      <c r="D42" s="75"/>
    </row>
    <row r="43" spans="1:4" ht="17.25">
      <c r="A43" s="63" t="s">
        <v>128</v>
      </c>
      <c r="B43" s="79">
        <v>10</v>
      </c>
      <c r="C43" s="72" t="s">
        <v>164</v>
      </c>
      <c r="D43" s="74"/>
    </row>
    <row r="44" spans="1:4" ht="17.25">
      <c r="A44" s="63" t="s">
        <v>93</v>
      </c>
      <c r="B44" s="78">
        <v>10</v>
      </c>
      <c r="C44" s="73" t="s">
        <v>164</v>
      </c>
      <c r="D44" s="75"/>
    </row>
    <row r="45" spans="1:4" ht="17.25">
      <c r="A45" s="63" t="s">
        <v>129</v>
      </c>
      <c r="B45" s="80">
        <v>10</v>
      </c>
      <c r="C45" s="69" t="s">
        <v>164</v>
      </c>
      <c r="D45" s="68"/>
    </row>
    <row r="46"/>
    <row r="47"/>
    <row r="48" spans="1:4">
      <c r="C48" s="66"/>
    </row>
  </sheetData>
  <phoneticPr fontId="14" type="noConversion"/>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 id="{EAAF7DD6-57C5-427F-BD84-B7CA83805024}">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B2:B45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3CED-92E7-4A64-BF87-00E3B3B76718}">
  <dimension ref="A1:AB22"/>
  <sheetViews>
    <sheetView workbookViewId="0">
      <pane activePane="bottomRight" state="frozen" topLeftCell="B3" xSplit="1" ySplit="2"/>
      <selection activeCell="B1" pane="topRight" sqref="B1"/>
      <selection activeCell="A2" pane="bottomLeft" sqref="A2"/>
      <selection activeCell="C15" pane="bottomRight" sqref="C15"/>
    </sheetView>
  </sheetViews>
  <sheetFormatPr defaultRowHeight="15"/>
  <cols>
    <col bestFit="true" customWidth="true" max="1" min="1" style="65" width="15.125"/>
    <col customWidth="true" max="2" min="2" style="83" width="7.625"/>
    <col customWidth="true" max="4" min="3" style="44" width="100.625"/>
  </cols>
  <sheetData>
    <row r="1" spans="1:28" s="25" customFormat="true" ht="15.75">
      <c r="A1" s="90" t="s">
        <v>106</v>
      </c>
      <c r="B1" s="90" t="s">
        <v>105</v>
      </c>
      <c r="C1" s="90" t="s">
        <v>160</v>
      </c>
      <c r="D1" s="90"/>
      <c r="E1" s="24"/>
      <c r="F1" s="24"/>
      <c r="G1" s="24"/>
      <c r="H1" s="24"/>
      <c r="I1" s="24"/>
      <c r="J1" s="24"/>
      <c r="K1" s="24"/>
      <c r="L1" s="24"/>
      <c r="M1" s="24"/>
      <c r="N1" s="24"/>
      <c r="O1" s="24"/>
      <c r="P1" s="24"/>
      <c r="Q1" s="24"/>
      <c r="R1" s="24"/>
      <c r="S1" s="24"/>
      <c r="T1" s="24"/>
      <c r="U1" s="24"/>
      <c r="V1" s="24"/>
      <c r="W1" s="24"/>
      <c r="X1" s="24"/>
      <c r="Y1" s="24"/>
      <c r="Z1" s="24"/>
      <c r="AA1" s="24"/>
      <c r="AB1" s="24"/>
    </row>
    <row r="2" spans="1:28" ht="17.25">
      <c r="A2" s="63" t="s">
        <v>66</v>
      </c>
      <c r="B2" s="77">
        <v>10</v>
      </c>
      <c r="C2" s="70" t="s">
        <v>156</v>
      </c>
      <c r="D2" s="71"/>
    </row>
    <row r="3" spans="1:28" ht="17.25">
      <c r="A3" s="63" t="s">
        <v>68</v>
      </c>
      <c r="B3" s="78">
        <v>10</v>
      </c>
      <c r="C3" s="73" t="s">
        <v>194</v>
      </c>
      <c r="D3" s="75"/>
    </row>
    <row r="4" spans="1:28" ht="17.25">
      <c r="A4" s="63" t="s">
        <v>71</v>
      </c>
      <c r="B4" s="79">
        <v>10</v>
      </c>
      <c r="C4" s="72" t="s">
        <v>194</v>
      </c>
      <c r="D4" s="74"/>
    </row>
    <row r="5" spans="1:28" ht="17.25">
      <c r="A5" s="63" t="s">
        <v>74</v>
      </c>
      <c r="B5" s="78">
        <v>10</v>
      </c>
      <c r="C5" s="73" t="s">
        <v>194</v>
      </c>
      <c r="D5" s="75"/>
    </row>
    <row r="6" spans="1:28" ht="17.25">
      <c r="A6" s="63" t="s">
        <v>75</v>
      </c>
      <c r="B6" s="79">
        <v>10</v>
      </c>
      <c r="C6" s="92" t="s">
        <v>203</v>
      </c>
      <c r="D6" s="93"/>
    </row>
    <row r="7" spans="1:28" ht="17.25">
      <c r="A7" s="63" t="s">
        <v>140</v>
      </c>
      <c r="B7" s="78">
        <v>10</v>
      </c>
      <c r="C7" s="73" t="s">
        <v>194</v>
      </c>
      <c r="D7" s="75"/>
    </row>
    <row r="8" spans="1:28" s="25" customFormat="true" ht="17.25">
      <c r="A8" s="63" t="s">
        <v>146</v>
      </c>
      <c r="B8" s="112">
        <v>10</v>
      </c>
      <c r="C8" s="113" t="s">
        <v>204</v>
      </c>
      <c r="D8" s="114"/>
      <c r="E8" s="24"/>
      <c r="F8" s="24"/>
      <c r="G8" s="24"/>
      <c r="H8" s="24"/>
      <c r="I8" s="24"/>
      <c r="J8" s="24"/>
      <c r="K8" s="24"/>
      <c r="L8" s="24"/>
      <c r="M8" s="24"/>
      <c r="N8" s="24"/>
      <c r="O8" s="24"/>
      <c r="P8" s="24"/>
      <c r="Q8" s="24"/>
      <c r="R8" s="24"/>
      <c r="S8" s="24"/>
      <c r="T8" s="24"/>
      <c r="U8" s="24"/>
      <c r="V8" s="24"/>
      <c r="W8" s="24"/>
      <c r="X8" s="24"/>
      <c r="Y8" s="24"/>
      <c r="Z8" s="24"/>
      <c r="AA8" s="24"/>
    </row>
    <row r="9" spans="1:28" s="25" customFormat="true" ht="17.25">
      <c r="A9" s="63" t="s">
        <v>145</v>
      </c>
      <c r="B9" s="112">
        <v>10</v>
      </c>
      <c r="C9" s="113" t="s">
        <v>205</v>
      </c>
      <c r="D9" s="114"/>
      <c r="E9" s="24"/>
      <c r="F9" s="24"/>
      <c r="G9" s="24"/>
      <c r="H9" s="24"/>
      <c r="I9" s="24"/>
      <c r="J9" s="24"/>
      <c r="K9" s="24"/>
      <c r="L9" s="24"/>
      <c r="M9" s="24"/>
      <c r="N9" s="24"/>
      <c r="O9" s="24"/>
      <c r="P9" s="24"/>
      <c r="Q9" s="24"/>
      <c r="R9" s="24"/>
      <c r="S9" s="24"/>
      <c r="T9" s="24"/>
      <c r="U9" s="24"/>
      <c r="V9" s="24"/>
      <c r="W9" s="24"/>
      <c r="X9" s="24"/>
      <c r="Y9" s="24"/>
      <c r="Z9" s="24"/>
      <c r="AA9" s="24"/>
    </row>
    <row r="10" spans="1:28" s="25" customFormat="true" ht="17.25">
      <c r="A10" s="63" t="s">
        <v>141</v>
      </c>
      <c r="B10" s="79">
        <v>10</v>
      </c>
      <c r="C10" s="72" t="s">
        <v>206</v>
      </c>
      <c r="D10" s="74"/>
      <c r="E10" s="24"/>
      <c r="F10" s="24"/>
      <c r="G10" s="24"/>
      <c r="H10" s="24"/>
      <c r="I10" s="24"/>
      <c r="J10" s="24"/>
      <c r="K10" s="24"/>
      <c r="L10" s="24"/>
      <c r="M10" s="24"/>
      <c r="N10" s="24"/>
      <c r="O10" s="24"/>
      <c r="P10" s="24"/>
      <c r="Q10" s="24"/>
      <c r="R10" s="24"/>
      <c r="S10" s="24"/>
      <c r="T10" s="24"/>
      <c r="U10" s="24"/>
      <c r="V10" s="24"/>
      <c r="W10" s="24"/>
      <c r="X10" s="24"/>
      <c r="Y10" s="24"/>
      <c r="Z10" s="24"/>
      <c r="AA10" s="24"/>
    </row>
    <row r="11" spans="1:28" ht="17.25">
      <c r="A11" s="63" t="s">
        <v>73</v>
      </c>
      <c r="B11" s="78">
        <v>5</v>
      </c>
      <c r="C11" s="131" t="s">
        <v>194</v>
      </c>
      <c r="D11" s="75"/>
    </row>
    <row r="12" spans="1:28" ht="17.25">
      <c r="A12" s="63" t="s">
        <v>69</v>
      </c>
      <c r="B12" s="79">
        <v>10</v>
      </c>
      <c r="C12" s="92" t="s">
        <v>207</v>
      </c>
      <c r="D12" s="93"/>
    </row>
    <row r="13" spans="1:28" ht="17.25">
      <c r="A13" s="63" t="s">
        <v>67</v>
      </c>
      <c r="B13" s="78">
        <v>5</v>
      </c>
      <c r="C13" s="131" t="s">
        <v>194</v>
      </c>
      <c r="D13" s="75"/>
    </row>
    <row r="14" spans="1:28" ht="17.25">
      <c r="A14" s="63" t="s">
        <v>65</v>
      </c>
      <c r="B14" s="79">
        <v>10</v>
      </c>
      <c r="C14" s="72" t="s">
        <v>208</v>
      </c>
      <c r="D14" s="74"/>
    </row>
    <row r="15" spans="1:28" ht="17.25">
      <c r="A15" s="63" t="s">
        <v>70</v>
      </c>
      <c r="B15" s="78">
        <v>10</v>
      </c>
      <c r="C15" s="73" t="s">
        <v>209</v>
      </c>
      <c r="D15" s="75"/>
    </row>
    <row r="16" spans="1:28" s="25" customFormat="true" ht="17.25">
      <c r="A16" s="63" t="s">
        <v>133</v>
      </c>
      <c r="B16" s="79">
        <v>8</v>
      </c>
      <c r="C16" s="133" t="s">
        <v>210</v>
      </c>
      <c r="D16" s="93"/>
      <c r="E16" s="24"/>
      <c r="F16" s="24"/>
      <c r="G16" s="24"/>
      <c r="H16" s="24"/>
      <c r="I16" s="24"/>
      <c r="J16" s="24"/>
      <c r="K16" s="24"/>
      <c r="L16" s="24"/>
      <c r="M16" s="24"/>
      <c r="N16" s="24"/>
      <c r="O16" s="24"/>
      <c r="P16" s="24"/>
      <c r="Q16" s="24"/>
      <c r="R16" s="24"/>
      <c r="S16" s="24"/>
      <c r="T16" s="24"/>
      <c r="U16" s="24"/>
      <c r="V16" s="24"/>
      <c r="W16" s="24"/>
      <c r="X16" s="24"/>
      <c r="Y16" s="24"/>
      <c r="Z16" s="24"/>
      <c r="AA16" s="24"/>
    </row>
    <row r="17" spans="1:27" ht="17.25">
      <c r="A17" s="63" t="s">
        <v>134</v>
      </c>
      <c r="B17" s="78">
        <v>10</v>
      </c>
      <c r="C17" s="110" t="s">
        <v>194</v>
      </c>
      <c r="D17" s="111"/>
    </row>
    <row r="18" spans="1:27" s="25" customFormat="true" ht="17.25">
      <c r="A18" s="63" t="s">
        <v>139</v>
      </c>
      <c r="B18" s="79">
        <v>10</v>
      </c>
      <c r="C18" s="72" t="s">
        <v>211</v>
      </c>
      <c r="D18" s="74"/>
      <c r="E18" s="24"/>
      <c r="F18" s="24"/>
      <c r="G18" s="24"/>
      <c r="H18" s="24"/>
      <c r="I18" s="24"/>
      <c r="J18" s="24"/>
      <c r="K18" s="24"/>
      <c r="L18" s="24"/>
      <c r="M18" s="24"/>
      <c r="N18" s="24"/>
      <c r="O18" s="24"/>
      <c r="P18" s="24"/>
      <c r="Q18" s="24"/>
      <c r="R18" s="24"/>
      <c r="S18" s="24"/>
      <c r="T18" s="24"/>
      <c r="U18" s="24"/>
      <c r="V18" s="24"/>
      <c r="W18" s="24"/>
      <c r="X18" s="24"/>
      <c r="Y18" s="24"/>
      <c r="Z18" s="24"/>
      <c r="AA18" s="24"/>
    </row>
    <row r="19" spans="1:27" s="25" customFormat="true" ht="17.25">
      <c r="A19" s="63" t="s">
        <v>135</v>
      </c>
      <c r="B19" s="78">
        <v>10</v>
      </c>
      <c r="C19" s="73" t="s">
        <v>212</v>
      </c>
      <c r="D19" s="75"/>
      <c r="E19" s="24"/>
      <c r="F19" s="24"/>
      <c r="G19" s="24"/>
      <c r="H19" s="24"/>
      <c r="I19" s="24"/>
      <c r="J19" s="24"/>
      <c r="K19" s="24"/>
      <c r="L19" s="24"/>
      <c r="M19" s="24"/>
      <c r="N19" s="24"/>
      <c r="O19" s="24"/>
      <c r="P19" s="24"/>
      <c r="Q19" s="24"/>
      <c r="R19" s="24"/>
      <c r="S19" s="24"/>
      <c r="T19" s="24"/>
      <c r="U19" s="24"/>
      <c r="V19" s="24"/>
      <c r="W19" s="24"/>
      <c r="X19" s="24"/>
      <c r="Y19" s="24"/>
      <c r="Z19" s="24"/>
      <c r="AA19" s="24"/>
    </row>
    <row r="20" spans="1:27" ht="17.25">
      <c r="A20" s="63" t="s">
        <v>136</v>
      </c>
      <c r="B20" s="79">
        <v>10</v>
      </c>
      <c r="C20" s="72" t="s">
        <v>213</v>
      </c>
      <c r="D20" s="74"/>
    </row>
    <row r="21" spans="1:27" s="25" customFormat="true" ht="17.25">
      <c r="A21" s="63" t="s">
        <v>137</v>
      </c>
      <c r="B21" s="78">
        <v>10</v>
      </c>
      <c r="C21" s="73" t="s">
        <v>214</v>
      </c>
      <c r="D21" s="75"/>
      <c r="E21" s="24"/>
      <c r="F21" s="24"/>
      <c r="G21" s="24"/>
      <c r="H21" s="24"/>
      <c r="I21" s="24"/>
      <c r="J21" s="24"/>
      <c r="K21" s="24"/>
      <c r="L21" s="24"/>
      <c r="M21" s="24"/>
      <c r="N21" s="24"/>
      <c r="O21" s="24"/>
      <c r="P21" s="24"/>
      <c r="Q21" s="24"/>
      <c r="R21" s="24"/>
      <c r="S21" s="24"/>
      <c r="T21" s="24"/>
      <c r="U21" s="24"/>
      <c r="V21" s="24"/>
      <c r="W21" s="24"/>
      <c r="X21" s="24"/>
      <c r="Y21" s="24"/>
      <c r="Z21" s="24"/>
      <c r="AA21" s="24"/>
    </row>
    <row r="22" spans="1:27" s="25" customFormat="true" ht="17.25">
      <c r="A22" s="63" t="s">
        <v>138</v>
      </c>
      <c r="B22" s="80">
        <v>10</v>
      </c>
      <c r="C22" s="69" t="s">
        <v>194</v>
      </c>
      <c r="D22" s="68"/>
      <c r="E22" s="24"/>
      <c r="F22" s="24"/>
      <c r="G22" s="24"/>
      <c r="H22" s="24"/>
      <c r="I22" s="24"/>
      <c r="J22" s="24"/>
      <c r="K22" s="24"/>
      <c r="L22" s="24"/>
      <c r="M22" s="24"/>
      <c r="N22" s="24"/>
      <c r="O22" s="24"/>
      <c r="P22" s="24"/>
      <c r="Q22" s="24"/>
      <c r="R22" s="24"/>
      <c r="S22" s="24"/>
      <c r="T22" s="24"/>
      <c r="U22" s="24"/>
      <c r="V22" s="24"/>
      <c r="W22" s="24"/>
      <c r="X22" s="24"/>
      <c r="Y22" s="24"/>
      <c r="Z22" s="24"/>
      <c r="AA22" s="24"/>
    </row>
  </sheetData>
  <phoneticPr fontId="14" type="noConversion"/>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 id="{95F920C0-AED7-425E-818E-31788AE47CF5}">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B2:B22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00D4997A-F5D7-47B8-8021-08C076C5E1C7}">
  <ds:schemaRefs>
    <ds:schemaRef ds:uri="http://schemas.microsoft.com/sharepoint/v3/contenttype/forms"/>
  </ds:schemaRefs>
</ds:datastoreItem>
</file>

<file path=customXml/itemProps2.xml><?xml version="1.0" encoding="utf-8"?>
<ds:datastoreItem xmlns:ds="http://schemas.openxmlformats.org/officeDocument/2006/customXml" ds:itemID="{98E7F3D6-785F-49FE-8501-BF769B99A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1BB4A4-C009-44B7-9F89-7FA7A7BF749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TM16400501</Template>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HealthReport</vt:lpstr>
      <vt:lpstr>OS</vt:lpstr>
      <vt:lpstr>DB</vt:lpstr>
      <vt:lpstr>INST</vt:lpstr>
      <vt:lpstr>ColumnTitle1</vt:lpstr>
      <vt:lpstr>HealthReport!Print_Titles</vt:lpstr>
      <vt:lpstr>RowTitleRegion1..C7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2022-11-10T06:32:34Z</dcterms:created>
  <dcterms:modified xsi:type="dcterms:W3CDTF">2025-09-10T03:09:46Z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