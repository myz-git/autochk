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filterPrivacy="1" codeName="ThisWorkbook"/>
  <xr:revisionPtr revIDLastSave="0" documentId="13_ncr:1_{BC982250-5546-429A-86B7-10C8F503FE2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ealthReport" sheetId="1" r:id="rId1"/>
    <sheet name="OS" sheetId="5" r:id="rId2"/>
    <sheet name="DB" sheetId="6" r:id="rId3"/>
    <sheet name="INST" sheetId="7" r:id="rId4"/>
  </sheets>
  <definedNames>
    <definedName name="ChecklistTotal">SUM(#REF!)</definedName>
    <definedName name="ColumnTitle1">HealthReport!$B$29:$L$41</definedName>
    <definedName name="ColumnTitle2">#REF!</definedName>
    <definedName name="ColumnTitle3">#REF!</definedName>
    <definedName name="_xlnm.Print_Titles" localSheetId="0">HealthReport!$28:$28</definedName>
    <definedName name="RowTitleRegion1..C7">HealthReport!$C$4</definedName>
    <definedName name="SchoolYear">YEAR(TODAY())&amp;" - "&amp;YEAR(TODAY())+1</definedName>
    <definedName name="SumItemsBought">COUNTIF(HealthReport!$L$29:$L$41,"&gt;0")</definedName>
    <definedName name="SumItemsToBuy">COUNTIF(HealthReport!$H$29:$H$41,"&gt;0")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4" i="1" l="1"/>
  <c r="H13" i="1"/>
  <c r="L29" i="1" l="1"/>
  <c r="L30" i="1"/>
  <c r="E7" i="5"/>
  <c r="G29" i="1" l="1" a="1"/>
  <c r="G29" i="1" s="1"/>
  <c r="G30" i="1" a="1"/>
  <c r="G3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<sst xmlns="http://schemas.openxmlformats.org/spreadsheetml/2006/main" count="155" uniqueCount="144">
  <si>
    <r>
      <rPr>
        <b/>
        <sz val="36"/>
        <color theme="1"/>
        <rFont val="等线"/>
        <family val="2"/>
        <charset val="134"/>
      </rPr>
      <t>健康检查报告</t>
    </r>
    <phoneticPr fontId="14" type="noConversion"/>
  </si>
  <si>
    <t>Server Info</t>
    <phoneticPr fontId="14" type="noConversion"/>
  </si>
  <si>
    <t>DataBase Info</t>
    <phoneticPr fontId="14" type="noConversion"/>
  </si>
  <si>
    <t>主机名</t>
  </si>
  <si>
    <t>内存</t>
  </si>
  <si>
    <t>APC2DB</t>
  </si>
  <si>
    <t>数据库版本</t>
  </si>
  <si>
    <t>数据库架构</t>
  </si>
  <si>
    <t>SINGLE INSTANCE</t>
  </si>
  <si>
    <t>主备库角色</t>
  </si>
  <si>
    <t>ARCHIVELOG</t>
  </si>
  <si>
    <t>1513.200  GB</t>
  </si>
  <si>
    <t>数据库字符集</t>
  </si>
  <si>
    <t>AMERICAN_AMERICA.US7ASCII</t>
  </si>
  <si>
    <t>数据库名</t>
    <phoneticPr fontId="14" type="noConversion"/>
  </si>
  <si>
    <t>PRIMARY,MAXIMUM PERFORMANCE</t>
    <phoneticPr fontId="14" type="noConversion"/>
  </si>
  <si>
    <t>Issue summary</t>
    <phoneticPr fontId="14" type="noConversion"/>
  </si>
  <si>
    <t>其他项检查</t>
    <phoneticPr fontId="14" type="noConversion"/>
  </si>
  <si>
    <t>重要</t>
    <phoneticPr fontId="14" type="noConversion"/>
  </si>
  <si>
    <t>轻微</t>
    <phoneticPr fontId="14" type="noConversion"/>
  </si>
  <si>
    <t>主机系统分析</t>
    <phoneticPr fontId="14" type="noConversion"/>
  </si>
  <si>
    <t>Issue list</t>
    <phoneticPr fontId="14" type="noConversion"/>
  </si>
  <si>
    <t>No.</t>
    <phoneticPr fontId="14" type="noConversion"/>
  </si>
  <si>
    <t>问题描述及建议</t>
    <phoneticPr fontId="14" type="noConversion"/>
  </si>
  <si>
    <t>问题类别</t>
    <phoneticPr fontId="14" type="noConversion"/>
  </si>
  <si>
    <t>主机系统分析</t>
  </si>
  <si>
    <t>检查项</t>
    <phoneticPr fontId="14" type="noConversion"/>
  </si>
  <si>
    <t>结果</t>
    <phoneticPr fontId="14" type="noConversion"/>
  </si>
  <si>
    <t>文件系统使用率</t>
    <phoneticPr fontId="14" type="noConversion"/>
  </si>
  <si>
    <t>内核参数</t>
    <phoneticPr fontId="14" type="noConversion"/>
  </si>
  <si>
    <t>表空间使用率</t>
    <phoneticPr fontId="14" type="noConversion"/>
  </si>
  <si>
    <t>影响</t>
    <phoneticPr fontId="14" type="noConversion"/>
  </si>
  <si>
    <t>CPU负载检查</t>
    <phoneticPr fontId="14" type="noConversion"/>
  </si>
  <si>
    <t>普通</t>
    <phoneticPr fontId="14" type="noConversion"/>
  </si>
  <si>
    <t xml:space="preserve">       Health  Report</t>
    <phoneticPr fontId="14" type="noConversion"/>
  </si>
  <si>
    <t>主机名</t>
    <phoneticPr fontId="14" type="noConversion"/>
  </si>
  <si>
    <t>内存使用</t>
    <phoneticPr fontId="14" type="noConversion"/>
  </si>
  <si>
    <t>IP地址</t>
    <phoneticPr fontId="14" type="noConversion"/>
  </si>
  <si>
    <t>系统日志</t>
    <phoneticPr fontId="14" type="noConversion"/>
  </si>
  <si>
    <t>数据库架构</t>
    <phoneticPr fontId="14" type="noConversion"/>
  </si>
  <si>
    <t>系统版本</t>
    <phoneticPr fontId="14" type="noConversion"/>
  </si>
  <si>
    <t>内存</t>
    <phoneticPr fontId="14" type="noConversion"/>
  </si>
  <si>
    <t>交换分区</t>
    <phoneticPr fontId="14" type="noConversion"/>
  </si>
  <si>
    <t>ULIMIT限制</t>
    <phoneticPr fontId="14" type="noConversion"/>
  </si>
  <si>
    <t>索引资源使用率</t>
    <phoneticPr fontId="14" type="noConversion"/>
  </si>
  <si>
    <t>透明大页</t>
    <phoneticPr fontId="14" type="noConversion"/>
  </si>
  <si>
    <t>磁盘IO负载</t>
    <phoneticPr fontId="14" type="noConversion"/>
  </si>
  <si>
    <t>系统大页</t>
    <phoneticPr fontId="14" type="noConversion"/>
  </si>
  <si>
    <t>NUMA使用</t>
    <phoneticPr fontId="14" type="noConversion"/>
  </si>
  <si>
    <t>时钟同步</t>
    <phoneticPr fontId="14" type="noConversion"/>
  </si>
  <si>
    <t>时区</t>
    <phoneticPr fontId="14" type="noConversion"/>
  </si>
  <si>
    <t>数据库名称</t>
    <phoneticPr fontId="14" type="noConversion"/>
  </si>
  <si>
    <t>并行度&gt;1的表</t>
    <phoneticPr fontId="14" type="noConversion"/>
  </si>
  <si>
    <t>并行度&gt;1的索引</t>
    <phoneticPr fontId="14" type="noConversion"/>
  </si>
  <si>
    <t>数据库版本</t>
    <phoneticPr fontId="14" type="noConversion"/>
  </si>
  <si>
    <t>是否开启归档</t>
    <phoneticPr fontId="14" type="noConversion"/>
  </si>
  <si>
    <t>是否开启闪回</t>
    <phoneticPr fontId="14" type="noConversion"/>
  </si>
  <si>
    <t>数据文件数量</t>
    <phoneticPr fontId="14" type="noConversion"/>
  </si>
  <si>
    <t>表数量</t>
    <phoneticPr fontId="14" type="noConversion"/>
  </si>
  <si>
    <t>主备库角色</t>
    <phoneticPr fontId="14" type="noConversion"/>
  </si>
  <si>
    <t>用户大小</t>
    <phoneticPr fontId="14" type="noConversion"/>
  </si>
  <si>
    <t>用户状态</t>
    <phoneticPr fontId="14" type="noConversion"/>
  </si>
  <si>
    <t>用户表数量</t>
    <phoneticPr fontId="14" type="noConversion"/>
  </si>
  <si>
    <t>数据库状态</t>
    <phoneticPr fontId="14" type="noConversion"/>
  </si>
  <si>
    <t>数据库组件</t>
    <phoneticPr fontId="14" type="noConversion"/>
  </si>
  <si>
    <t>功能特性</t>
    <phoneticPr fontId="14" type="noConversion"/>
  </si>
  <si>
    <t>字符集</t>
    <phoneticPr fontId="14" type="noConversion"/>
  </si>
  <si>
    <t>数据库参数</t>
    <phoneticPr fontId="14" type="noConversion"/>
  </si>
  <si>
    <t>实例名</t>
    <phoneticPr fontId="14" type="noConversion"/>
  </si>
  <si>
    <t>监听检查</t>
    <phoneticPr fontId="14" type="noConversion"/>
  </si>
  <si>
    <t>数据库负载</t>
    <phoneticPr fontId="14" type="noConversion"/>
  </si>
  <si>
    <t>数据库补丁</t>
    <phoneticPr fontId="14" type="noConversion"/>
  </si>
  <si>
    <t>参数文件</t>
    <phoneticPr fontId="14" type="noConversion"/>
  </si>
  <si>
    <t>数据库运行效率</t>
    <phoneticPr fontId="14" type="noConversion"/>
  </si>
  <si>
    <t>CPU使用</t>
    <phoneticPr fontId="14" type="noConversion"/>
  </si>
  <si>
    <t>PSU&amp;RU</t>
    <phoneticPr fontId="14" type="noConversion"/>
  </si>
  <si>
    <t>Top等待</t>
    <phoneticPr fontId="14" type="noConversion"/>
  </si>
  <si>
    <t>Top SQL(耗时)</t>
    <phoneticPr fontId="14" type="noConversion"/>
  </si>
  <si>
    <t>CPU Info</t>
    <phoneticPr fontId="14" type="noConversion"/>
  </si>
  <si>
    <t>CPU 主频</t>
    <phoneticPr fontId="14" type="noConversion"/>
  </si>
  <si>
    <t>Selinux状态</t>
    <phoneticPr fontId="14" type="noConversion"/>
  </si>
  <si>
    <t>防火墙状态</t>
    <phoneticPr fontId="14" type="noConversion"/>
  </si>
  <si>
    <t>myzdb100</t>
  </si>
  <si>
    <t>10.0.2.15
1.1.1.100</t>
  </si>
  <si>
    <t>Linux x86_64</t>
  </si>
  <si>
    <t>Linux.Red Hat Enterprise Linux release 8.8 (Ootpa)</t>
  </si>
  <si>
    <t>12th Gen Intel(R) Core(TM) i5-12400F 4</t>
    <phoneticPr fontId="14" type="noConversion"/>
  </si>
  <si>
    <t>7 GB</t>
  </si>
  <si>
    <t>主机平台</t>
    <phoneticPr fontId="14" type="noConversion"/>
  </si>
  <si>
    <t>操作系统</t>
    <phoneticPr fontId="14" type="noConversion"/>
  </si>
  <si>
    <t>Physical Server</t>
    <phoneticPr fontId="14" type="noConversion"/>
  </si>
  <si>
    <t>Oracle Database 19c Enterprise Edition Version 19.11.0.0.0</t>
    <phoneticPr fontId="14" type="noConversion"/>
  </si>
  <si>
    <t>数据文件总大小</t>
    <phoneticPr fontId="14" type="noConversion"/>
  </si>
  <si>
    <t>集群资源状态</t>
    <phoneticPr fontId="14" type="noConversion"/>
  </si>
  <si>
    <t>OCR状态</t>
    <phoneticPr fontId="14" type="noConversion"/>
  </si>
  <si>
    <t>ASM磁盘组使用率</t>
    <phoneticPr fontId="14" type="noConversion"/>
  </si>
  <si>
    <t>数据库集群</t>
    <phoneticPr fontId="14" type="noConversion"/>
  </si>
  <si>
    <t>DataGuard</t>
    <phoneticPr fontId="14" type="noConversion"/>
  </si>
  <si>
    <t>数据库备份</t>
    <phoneticPr fontId="14" type="noConversion"/>
  </si>
  <si>
    <t>数据库安全</t>
    <phoneticPr fontId="14" type="noConversion"/>
  </si>
  <si>
    <t>主机系统</t>
    <phoneticPr fontId="14" type="noConversion"/>
  </si>
  <si>
    <t>数据库分析</t>
    <phoneticPr fontId="14" type="noConversion"/>
  </si>
  <si>
    <t>软件使用</t>
    <phoneticPr fontId="14" type="noConversion"/>
  </si>
  <si>
    <t>实例分析</t>
    <phoneticPr fontId="14" type="noConversion"/>
  </si>
  <si>
    <t>数据库性能</t>
    <phoneticPr fontId="14" type="noConversion"/>
  </si>
  <si>
    <t>数据库大小
(已使用GB)</t>
    <phoneticPr fontId="14" type="noConversion"/>
  </si>
  <si>
    <t>是否归档</t>
    <phoneticPr fontId="14" type="noConversion"/>
  </si>
  <si>
    <t xml:space="preserve"> Result</t>
    <phoneticPr fontId="14" type="noConversion"/>
  </si>
  <si>
    <t>Check Item</t>
    <phoneticPr fontId="14" type="noConversion"/>
  </si>
  <si>
    <t>RPM安全漏洞包</t>
    <phoneticPr fontId="14" type="noConversion"/>
  </si>
  <si>
    <t>ZEROCONF路由</t>
    <phoneticPr fontId="14" type="noConversion"/>
  </si>
  <si>
    <t>CPU性能模式</t>
    <phoneticPr fontId="14" type="noConversion"/>
  </si>
  <si>
    <t>lo网卡MTU</t>
    <phoneticPr fontId="14" type="noConversion"/>
  </si>
  <si>
    <t>NSSwitch配置</t>
    <phoneticPr fontId="14" type="noConversion"/>
  </si>
  <si>
    <t>数据文件状态</t>
    <phoneticPr fontId="14" type="noConversion"/>
  </si>
  <si>
    <t>控制文件冗余</t>
    <phoneticPr fontId="14" type="noConversion"/>
  </si>
  <si>
    <t>SEQUENCE设置</t>
    <phoneticPr fontId="14" type="noConversion"/>
  </si>
  <si>
    <t>SEQUENCE使用</t>
    <phoneticPr fontId="14" type="noConversion"/>
  </si>
  <si>
    <t>无效对象</t>
    <phoneticPr fontId="14" type="noConversion"/>
  </si>
  <si>
    <t>索引失效</t>
    <phoneticPr fontId="14" type="noConversion"/>
  </si>
  <si>
    <t>用户临期</t>
    <phoneticPr fontId="14" type="noConversion"/>
  </si>
  <si>
    <t>DBA权限用户</t>
    <phoneticPr fontId="14" type="noConversion"/>
  </si>
  <si>
    <t>SYSDBA权限用户</t>
    <phoneticPr fontId="14" type="noConversion"/>
  </si>
  <si>
    <t>数据库审计空间</t>
    <phoneticPr fontId="14" type="noConversion"/>
  </si>
  <si>
    <t>数据库审计对象</t>
    <phoneticPr fontId="14" type="noConversion"/>
  </si>
  <si>
    <t>业务使用系统表空间</t>
    <phoneticPr fontId="14" type="noConversion"/>
  </si>
  <si>
    <t>错误口令登录锁定</t>
    <phoneticPr fontId="14" type="noConversion"/>
  </si>
  <si>
    <t>病毒勒索攻击隐患</t>
    <phoneticPr fontId="14" type="noConversion"/>
  </si>
  <si>
    <t>SCNHealthCheck</t>
    <phoneticPr fontId="14" type="noConversion"/>
  </si>
  <si>
    <t>RMAN备份</t>
    <phoneticPr fontId="14" type="noConversion"/>
  </si>
  <si>
    <t>OCR备份</t>
    <phoneticPr fontId="14" type="noConversion"/>
  </si>
  <si>
    <t>ASM磁盘偏移</t>
    <phoneticPr fontId="14" type="noConversion"/>
  </si>
  <si>
    <t>PROFILE密码函数</t>
    <phoneticPr fontId="14" type="noConversion"/>
  </si>
  <si>
    <t>临时表空间文件</t>
    <phoneticPr fontId="14" type="noConversion"/>
  </si>
  <si>
    <t>数据库当前使用</t>
    <phoneticPr fontId="14" type="noConversion"/>
  </si>
  <si>
    <t>REDO文件</t>
    <phoneticPr fontId="14" type="noConversion"/>
  </si>
  <si>
    <t>归档切换</t>
    <phoneticPr fontId="14" type="noConversion"/>
  </si>
  <si>
    <t>闪回区使用</t>
    <phoneticPr fontId="14" type="noConversion"/>
  </si>
  <si>
    <t>数据库日志</t>
    <phoneticPr fontId="14" type="noConversion"/>
  </si>
  <si>
    <t>DG同步延迟</t>
    <phoneticPr fontId="14" type="noConversion"/>
  </si>
  <si>
    <t>DG同步报错</t>
    <phoneticPr fontId="14" type="noConversion"/>
  </si>
  <si>
    <t>闪回区空间</t>
    <phoneticPr fontId="14" type="noConversion"/>
  </si>
  <si>
    <t>游标&gt;300M</t>
    <phoneticPr fontId="14" type="noConversion"/>
  </si>
  <si>
    <t>最大资源使用</t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</si>
</sst>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44" formatCode="_(&quot;$&quot;* #,##0.00_);_(&quot;$&quot;* \(#,##0.00\);_(&quot;$&quot;* &quot;-&quot;??_);_(@_)"/>
    <numFmt numFmtId="176" formatCode="0.00_);[Red]\(0.00\)"/>
  </numFmts>
  <fonts count="40" x14ac:knownFonts="1">
    <font>
      <sz val="11"/>
      <color theme="3"/>
      <name val="Corbel"/>
      <family val="2"/>
      <scheme val="minor"/>
    </font>
    <font>
      <sz val="11"/>
      <color theme="1"/>
      <name val="Corbel"/>
      <family val="2"/>
      <scheme val="minor"/>
    </font>
    <font>
      <sz val="11"/>
      <color theme="1"/>
      <name val="Corbel"/>
      <family val="2"/>
      <scheme val="minor"/>
    </font>
    <font>
      <sz val="11"/>
      <color theme="1"/>
      <name val="Corbel"/>
      <family val="2"/>
      <scheme val="minor"/>
    </font>
    <font>
      <b/>
      <sz val="12"/>
      <color theme="3"/>
      <name val="Corbel"/>
      <family val="2"/>
      <scheme val="minor"/>
    </font>
    <font>
      <sz val="20"/>
      <color theme="1"/>
      <name val="Impact"/>
      <family val="2"/>
      <scheme val="major"/>
    </font>
    <font>
      <sz val="11"/>
      <color theme="3"/>
      <name val="Corbel"/>
      <family val="2"/>
      <scheme val="minor"/>
    </font>
    <font>
      <sz val="11"/>
      <color theme="0"/>
      <name val="Corbel"/>
      <family val="2"/>
      <scheme val="minor"/>
    </font>
    <font>
      <sz val="32"/>
      <color theme="1"/>
      <name val="Impact"/>
      <family val="2"/>
      <scheme val="major"/>
    </font>
    <font>
      <sz val="12"/>
      <color theme="1"/>
      <name val="Corbel"/>
      <family val="2"/>
      <scheme val="minor"/>
    </font>
    <font>
      <sz val="11"/>
      <name val="Corbel"/>
      <family val="2"/>
      <scheme val="minor"/>
    </font>
    <font>
      <sz val="32"/>
      <color theme="2" tint="-0.499984740745262"/>
      <name val="Impact"/>
      <family val="2"/>
      <scheme val="major"/>
    </font>
    <font>
      <b/>
      <sz val="18"/>
      <color theme="2" tint="-0.499984740745262"/>
      <name val="Corbel"/>
      <family val="2"/>
      <scheme val="minor"/>
    </font>
    <font>
      <b/>
      <sz val="12"/>
      <color theme="1"/>
      <name val="Corbel"/>
      <family val="2"/>
      <scheme val="minor"/>
    </font>
    <font>
      <sz val="9"/>
      <name val="宋体"/>
      <family val="3"/>
      <charset val="134"/>
      <scheme val="minor"/>
    </font>
    <font>
      <b/>
      <sz val="36"/>
      <color theme="1"/>
      <name val="Impact"/>
      <family val="2"/>
    </font>
    <font>
      <b/>
      <sz val="36"/>
      <color theme="1"/>
      <name val="等线"/>
      <family val="2"/>
      <charset val="134"/>
    </font>
    <font>
      <sz val="32"/>
      <color theme="2" tint="-0.499984740745262"/>
      <name val="Impact"/>
      <family val="2"/>
    </font>
    <font>
      <sz val="11"/>
      <color theme="3"/>
      <name val="宋体"/>
      <family val="2"/>
      <charset val="134"/>
    </font>
    <font>
      <b/>
      <sz val="12"/>
      <color theme="1"/>
      <name val="微软雅黑"/>
      <family val="2"/>
      <charset val="134"/>
      <scheme val="minor"/>
    </font>
    <font>
      <b/>
      <sz val="12"/>
      <color theme="1"/>
      <name val="宋体"/>
      <family val="2"/>
      <charset val="134"/>
    </font>
    <font>
      <sz val="11"/>
      <color theme="1"/>
      <name val="Microsoft YaHei Light"/>
      <family val="2"/>
      <charset val="134"/>
    </font>
    <font>
      <sz val="11"/>
      <color theme="3"/>
      <name val="Microsoft YaHei Light"/>
      <family val="2"/>
      <charset val="134"/>
    </font>
    <font>
      <b/>
      <sz val="11"/>
      <color theme="3"/>
      <name val="Microsoft YaHei Light"/>
      <family val="2"/>
      <charset val="134"/>
    </font>
    <font>
      <sz val="32"/>
      <color theme="6"/>
      <name val="Impact"/>
      <family val="2"/>
    </font>
    <font>
      <sz val="11"/>
      <color theme="1"/>
      <name val="Calibri"/>
      <family val="2"/>
    </font>
    <font>
      <sz val="9"/>
      <color theme="1"/>
      <name val="Microsoft YaHei Light"/>
      <family val="2"/>
      <charset val="134"/>
    </font>
    <font>
      <b/>
      <sz val="12"/>
      <color theme="0"/>
      <name val="宋体"/>
      <family val="2"/>
      <charset val="134"/>
    </font>
    <font>
      <sz val="8"/>
      <color theme="1"/>
      <name val="Cascadia Code Light"/>
      <family val="3"/>
    </font>
    <font>
      <sz val="9"/>
      <color rgb="FF0066FF"/>
      <name val="Corbel"/>
      <family val="2"/>
      <scheme val="minor"/>
    </font>
    <font>
      <sz val="9"/>
      <color rgb="FF0066FF"/>
      <name val="Microsoft YaHei Light"/>
      <family val="2"/>
      <charset val="134"/>
    </font>
    <font>
      <sz val="10"/>
      <color theme="1"/>
      <name val="Calibri"/>
      <family val="2"/>
    </font>
    <font>
      <sz val="12"/>
      <color theme="1"/>
      <name val="等线"/>
      <family val="3"/>
      <charset val="134"/>
    </font>
    <font>
      <sz val="12"/>
      <color theme="0"/>
      <name val="等线"/>
      <family val="3"/>
      <charset val="134"/>
    </font>
    <font>
      <b/>
      <sz val="11"/>
      <color theme="0"/>
      <name val="等线"/>
      <family val="3"/>
      <charset val="134"/>
    </font>
    <font>
      <sz val="12"/>
      <color theme="1"/>
      <name val="Cascadia Code Light"/>
      <family val="3"/>
    </font>
    <font>
      <sz val="11"/>
      <color theme="0"/>
      <name val="等线"/>
      <family val="3"/>
      <charset val="134"/>
    </font>
    <font>
      <b/>
      <sz val="12"/>
      <color theme="0"/>
      <name val="等线"/>
      <family val="3"/>
      <charset val="134"/>
    </font>
    <font>
      <sz val="10"/>
      <color theme="3"/>
      <name val="Microsoft YaHei Light"/>
      <family val="2"/>
      <charset val="134"/>
    </font>
    <font>
      <sz val="11"/>
      <color theme="0"/>
      <name val="Corbel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5"/>
      </patternFill>
    </fill>
    <fill>
      <patternFill patternType="solid">
        <fgColor rgb="FFEAEAEA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theme="0" tint="-0.14993743705557422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555555"/>
      </patternFill>
    </fill>
  </fills>
  <borders count="26">
    <border>
      <left/>
      <right/>
      <top/>
      <bottom/>
      <diagonal/>
    </border>
    <border>
      <left/>
      <right/>
      <top style="thick">
        <color theme="2" tint="-0.499984740745262"/>
      </top>
      <bottom/>
      <diagonal/>
    </border>
    <border>
      <left/>
      <right/>
      <top/>
      <bottom style="thick">
        <color theme="2" tint="-0.499984740745262"/>
      </bottom>
      <diagonal/>
    </border>
    <border>
      <left/>
      <right/>
      <top style="dotted">
        <color theme="2" tint="-0.499984740745262"/>
      </top>
      <bottom style="dotted">
        <color theme="2" tint="-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dotted">
        <color theme="2" tint="-0.499984740745262"/>
      </top>
      <bottom/>
      <diagonal/>
    </border>
    <border>
      <left/>
      <right/>
      <top/>
      <bottom style="hair">
        <color theme="1" tint="0.34998626667073579"/>
      </bottom>
      <diagonal/>
    </border>
    <border>
      <left/>
      <right/>
      <top style="hair">
        <color theme="1" tint="0.34998626667073579"/>
      </top>
      <bottom style="hair">
        <color theme="1" tint="0.34998626667073579"/>
      </bottom>
      <diagonal/>
    </border>
    <border>
      <left/>
      <right/>
      <top style="hair">
        <color theme="1" tint="0.34998626667073579"/>
      </top>
      <bottom style="thick">
        <color theme="2" tint="-0.499984740745262"/>
      </bottom>
      <diagonal/>
    </border>
    <border>
      <left style="thin">
        <color theme="6"/>
      </left>
      <right style="thin">
        <color theme="6"/>
      </right>
      <top/>
      <bottom style="hair">
        <color indexed="64"/>
      </bottom>
      <diagonal/>
    </border>
    <border>
      <left/>
      <right/>
      <top style="thick">
        <color theme="2" tint="-0.499984740745262"/>
      </top>
      <bottom style="dotted">
        <color theme="2" tint="-0.499984740745262"/>
      </bottom>
      <diagonal/>
    </border>
    <border>
      <left/>
      <right/>
      <top/>
      <bottom style="thin">
        <color theme="0" tint="-0.14999847407452621"/>
      </bottom>
      <diagonal/>
    </border>
    <border>
      <left/>
      <right style="thin">
        <color theme="6"/>
      </right>
      <top/>
      <bottom style="hair">
        <color indexed="64"/>
      </bottom>
      <diagonal/>
    </border>
    <border>
      <left style="thin">
        <color theme="6"/>
      </left>
      <right style="thin">
        <color theme="6"/>
      </right>
      <top/>
      <bottom style="thin">
        <color theme="6"/>
      </bottom>
      <diagonal/>
    </border>
    <border>
      <left style="thin">
        <color rgb="FF000000"/>
      </left>
      <right style="thin">
        <color theme="2" tint="-0.249977111117893"/>
      </right>
      <top style="thin">
        <color theme="0" tint="-0.14999847407452621"/>
      </top>
      <bottom style="thin">
        <color theme="6"/>
      </bottom>
      <diagonal/>
    </border>
    <border>
      <left/>
      <right style="thin">
        <color theme="6"/>
      </right>
      <top/>
      <bottom style="thin">
        <color theme="6"/>
      </bottom>
      <diagonal/>
    </border>
    <border>
      <left style="thin">
        <color rgb="FF000000"/>
      </left>
      <right style="thin">
        <color theme="2" tint="-0.249977111117893"/>
      </right>
      <top style="thin">
        <color rgb="FF000000"/>
      </top>
      <bottom style="hair">
        <color indexed="64"/>
      </bottom>
      <diagonal/>
    </border>
    <border>
      <left style="thin">
        <color theme="2" tint="-0.249977111117893"/>
      </left>
      <right style="thin">
        <color theme="6"/>
      </right>
      <top style="hair">
        <color indexed="64"/>
      </top>
      <bottom style="hair">
        <color theme="2" tint="-9.9978637043366805E-2"/>
      </bottom>
      <diagonal/>
    </border>
    <border>
      <left style="thin">
        <color theme="6"/>
      </left>
      <right style="thin">
        <color theme="6"/>
      </right>
      <top style="hair">
        <color indexed="64"/>
      </top>
      <bottom style="hair">
        <color theme="2" tint="-9.9978637043366805E-2"/>
      </bottom>
      <diagonal/>
    </border>
    <border>
      <left style="thin">
        <color rgb="FF000000"/>
      </left>
      <right style="thin">
        <color theme="2" tint="-0.249977111117893"/>
      </right>
      <top style="hair">
        <color indexed="64"/>
      </top>
      <bottom style="hair">
        <color theme="2" tint="-9.9978637043366805E-2"/>
      </bottom>
      <diagonal/>
    </border>
    <border>
      <left style="thin">
        <color theme="2" tint="-0.249977111117893"/>
      </left>
      <right style="thin">
        <color theme="6"/>
      </right>
      <top/>
      <bottom style="hair">
        <color theme="2" tint="-9.9978637043366805E-2"/>
      </bottom>
      <diagonal/>
    </border>
    <border>
      <left style="thin">
        <color rgb="FF000000"/>
      </left>
      <right style="thin">
        <color theme="2" tint="-0.249977111117893"/>
      </right>
      <top/>
      <bottom style="hair">
        <color theme="2" tint="-9.9978637043366805E-2"/>
      </bottom>
      <diagonal/>
    </border>
    <border>
      <left style="thin">
        <color theme="2" tint="-0.249977111117893"/>
      </left>
      <right style="thin">
        <color theme="6"/>
      </right>
      <top style="hair">
        <color theme="2" tint="-9.9978637043366805E-2"/>
      </top>
      <bottom style="hair">
        <color theme="2" tint="-0.499984740745262"/>
      </bottom>
      <diagonal/>
    </border>
    <border>
      <left style="thin">
        <color rgb="FF000000"/>
      </left>
      <right style="thin">
        <color theme="2" tint="-0.249977111117893"/>
      </right>
      <top style="hair">
        <color theme="2" tint="-9.9978637043366805E-2"/>
      </top>
      <bottom style="hair">
        <color theme="2" tint="-0.499984740745262"/>
      </bottom>
      <diagonal/>
    </border>
    <border>
      <left style="thin">
        <color theme="6"/>
      </left>
      <right style="thin">
        <color theme="6"/>
      </right>
      <top style="hair">
        <color theme="2" tint="-9.9978637043366805E-2"/>
      </top>
      <bottom style="hair">
        <color theme="2" tint="-0.499984740745262"/>
      </bottom>
      <diagonal/>
    </border>
    <border>
      <left style="thin">
        <color theme="6"/>
      </left>
      <right style="thin">
        <color theme="6"/>
      </right>
      <top/>
      <bottom style="hair">
        <color theme="2" tint="-9.9978637043366805E-2"/>
      </bottom>
      <diagonal/>
    </border>
  </borders>
  <cellStyleXfs count="20">
    <xf numFmtId="0" fontId="0" fillId="2" borderId="0">
      <alignment vertical="center" wrapText="1"/>
    </xf>
    <xf numFmtId="0" fontId="5" fillId="0" borderId="0" applyNumberFormat="0" applyFill="0" applyProtection="0">
      <alignment horizontal="left" vertical="center"/>
    </xf>
    <xf numFmtId="0" fontId="9" fillId="0" borderId="0" applyNumberFormat="0" applyFill="0" applyBorder="0" applyProtection="0">
      <alignment horizontal="left" wrapText="1"/>
    </xf>
    <xf numFmtId="44" fontId="3" fillId="0" borderId="0" applyFont="0" applyFill="0" applyBorder="0" applyProtection="0">
      <alignment vertical="center"/>
    </xf>
    <xf numFmtId="9" fontId="7" fillId="0" borderId="0" applyFill="0" applyBorder="0" applyProtection="0">
      <alignment horizontal="left" vertical="center"/>
    </xf>
    <xf numFmtId="0" fontId="8" fillId="0" borderId="0" applyNumberFormat="0" applyFill="0" applyBorder="0" applyProtection="0">
      <alignment vertical="center"/>
    </xf>
    <xf numFmtId="0" fontId="7" fillId="0" borderId="0" applyNumberFormat="0" applyFill="0" applyBorder="0" applyAlignment="0">
      <alignment vertical="center"/>
    </xf>
    <xf numFmtId="0" fontId="4" fillId="0" borderId="1" applyNumberFormat="0" applyFill="0" applyProtection="0">
      <alignment horizontal="right" vertical="center"/>
    </xf>
    <xf numFmtId="0" fontId="12" fillId="0" borderId="0" applyNumberFormat="0" applyFill="0" applyBorder="0" applyProtection="0">
      <alignment horizontal="left"/>
    </xf>
    <xf numFmtId="7" fontId="4" fillId="0" borderId="1" applyFill="0" applyAlignment="0" applyProtection="0"/>
    <xf numFmtId="37" fontId="6" fillId="0" borderId="0" applyFont="0" applyFill="0" applyBorder="0" applyProtection="0">
      <alignment horizontal="left" vertical="center" indent="1"/>
    </xf>
    <xf numFmtId="7" fontId="6" fillId="0" borderId="0" applyFont="0" applyFill="0" applyBorder="0" applyProtection="0">
      <alignment horizontal="right" vertical="center"/>
    </xf>
    <xf numFmtId="0" fontId="6" fillId="2" borderId="0" applyNumberFormat="0" applyFont="0" applyFill="0" applyBorder="0">
      <alignment horizontal="center" vertical="center"/>
    </xf>
    <xf numFmtId="0" fontId="6" fillId="2" borderId="0" applyNumberFormat="0" applyFont="0" applyFill="0" applyBorder="0">
      <alignment horizontal="right" vertical="center"/>
    </xf>
    <xf numFmtId="0" fontId="10" fillId="2" borderId="0" applyNumberFormat="0" applyFill="0" applyBorder="0" applyAlignment="0" applyProtection="0">
      <alignment vertical="center" wrapText="1"/>
    </xf>
    <xf numFmtId="0" fontId="10" fillId="2" borderId="0" applyNumberFormat="0" applyFill="0" applyBorder="0" applyAlignment="0" applyProtection="0">
      <alignment vertical="center" wrapText="1"/>
    </xf>
    <xf numFmtId="0" fontId="2" fillId="3" borderId="0" applyNumberFormat="0" applyBorder="0" applyAlignment="0" applyProtection="0"/>
    <xf numFmtId="0" fontId="11" fillId="0" borderId="0">
      <alignment vertical="center"/>
    </xf>
    <xf numFmtId="0" fontId="6" fillId="0" borderId="0" applyNumberFormat="0" applyFill="0" applyBorder="0" applyProtection="0">
      <alignment vertical="center"/>
    </xf>
    <xf numFmtId="0" fontId="25" fillId="0" borderId="0"/>
  </cellStyleXfs>
  <cellXfs count="108">
    <xf numFmtId="0" fontId="0" fillId="2" borderId="0" xfId="0">
      <alignment vertical="center" wrapText="1"/>
    </xf>
    <xf numFmtId="9" fontId="1" fillId="2" borderId="0" xfId="4" applyFont="1" applyFill="1">
      <alignment horizontal="left" vertical="center"/>
    </xf>
    <xf numFmtId="0" fontId="6" fillId="4" borderId="0" xfId="18" applyFill="1" applyAlignment="1">
      <alignment horizontal="right" vertical="center"/>
    </xf>
    <xf numFmtId="0" fontId="5" fillId="4" borderId="0" xfId="1" applyFill="1">
      <alignment horizontal="left" vertical="center"/>
    </xf>
    <xf numFmtId="0" fontId="0" fillId="4" borderId="0" xfId="0" applyFill="1">
      <alignment vertical="center" wrapText="1"/>
    </xf>
    <xf numFmtId="0" fontId="5" fillId="4" borderId="0" xfId="1" applyFill="1" applyAlignment="1">
      <alignment vertical="center"/>
    </xf>
    <xf numFmtId="0" fontId="0" fillId="4" borderId="0" xfId="13" applyFont="1" applyFill="1">
      <alignment horizontal="right" vertical="center"/>
    </xf>
    <xf numFmtId="7" fontId="0" fillId="4" borderId="0" xfId="11" applyFont="1" applyFill="1">
      <alignment horizontal="right" vertical="center"/>
    </xf>
    <xf numFmtId="9" fontId="1" fillId="4" borderId="0" xfId="4" applyFont="1" applyFill="1">
      <alignment horizontal="left" vertical="center"/>
    </xf>
    <xf numFmtId="7" fontId="13" fillId="4" borderId="1" xfId="7" applyNumberFormat="1" applyFont="1" applyFill="1">
      <alignment horizontal="right" vertical="center"/>
    </xf>
    <xf numFmtId="7" fontId="4" fillId="4" borderId="1" xfId="9" applyFill="1" applyAlignment="1">
      <alignment vertical="center" wrapText="1"/>
    </xf>
    <xf numFmtId="0" fontId="0" fillId="4" borderId="0" xfId="18" applyFont="1" applyFill="1" applyAlignment="1">
      <alignment horizontal="right" vertical="center"/>
    </xf>
    <xf numFmtId="0" fontId="18" fillId="4" borderId="0" xfId="13" applyFont="1" applyFill="1">
      <alignment horizontal="right" vertical="center"/>
    </xf>
    <xf numFmtId="0" fontId="0" fillId="4" borderId="0" xfId="18" applyFont="1" applyFill="1" applyAlignment="1">
      <alignment horizontal="center" vertical="center"/>
    </xf>
    <xf numFmtId="9" fontId="1" fillId="4" borderId="0" xfId="4" applyFont="1" applyFill="1" applyAlignment="1">
      <alignment horizontal="center" vertical="center"/>
    </xf>
    <xf numFmtId="0" fontId="1" fillId="6" borderId="3" xfId="0" applyFont="1" applyFill="1" applyBorder="1" applyAlignment="1">
      <alignment horizontal="center" vertical="center" wrapText="1"/>
    </xf>
    <xf numFmtId="0" fontId="0" fillId="2" borderId="0" xfId="0" applyAlignment="1">
      <alignment horizontal="center" vertical="center" wrapText="1"/>
    </xf>
    <xf numFmtId="0" fontId="22" fillId="4" borderId="0" xfId="13" applyFont="1" applyFill="1">
      <alignment horizontal="right" vertical="center"/>
    </xf>
    <xf numFmtId="0" fontId="23" fillId="4" borderId="0" xfId="13" applyFont="1" applyFill="1">
      <alignment horizontal="right" vertical="center"/>
    </xf>
    <xf numFmtId="0" fontId="22" fillId="4" borderId="0" xfId="0" applyFont="1" applyFill="1">
      <alignment vertical="center" wrapText="1"/>
    </xf>
    <xf numFmtId="9" fontId="21" fillId="4" borderId="0" xfId="4" applyFont="1" applyFill="1">
      <alignment horizontal="left" vertical="center"/>
    </xf>
    <xf numFmtId="0" fontId="15" fillId="7" borderId="0" xfId="5" applyFont="1" applyFill="1" applyAlignment="1">
      <alignment horizontal="center" vertical="center"/>
    </xf>
    <xf numFmtId="0" fontId="15" fillId="7" borderId="0" xfId="5" applyFont="1" applyFill="1" applyAlignment="1">
      <alignment horizontal="left" vertical="center"/>
    </xf>
    <xf numFmtId="0" fontId="17" fillId="7" borderId="0" xfId="17" applyFont="1" applyFill="1" applyAlignment="1">
      <alignment horizontal="left" vertical="center"/>
    </xf>
    <xf numFmtId="0" fontId="2" fillId="7" borderId="0" xfId="16" applyFill="1" applyAlignment="1">
      <alignment vertical="center" wrapText="1"/>
    </xf>
    <xf numFmtId="0" fontId="24" fillId="7" borderId="0" xfId="17" applyFont="1" applyFill="1" applyAlignment="1">
      <alignment horizontal="left" vertical="center"/>
    </xf>
    <xf numFmtId="0" fontId="25" fillId="0" borderId="0" xfId="19" applyAlignment="1">
      <alignment horizontal="right" vertical="center" wrapText="1" indent="1" justifyLastLine="1" shrinkToFit="1"/>
    </xf>
    <xf numFmtId="0" fontId="25" fillId="0" borderId="0" xfId="19"/>
    <xf numFmtId="0" fontId="1" fillId="6" borderId="5" xfId="0" applyFont="1" applyFill="1" applyBorder="1" applyAlignment="1">
      <alignment horizontal="center" vertical="center" wrapText="1"/>
    </xf>
    <xf numFmtId="0" fontId="21" fillId="6" borderId="5" xfId="0" applyFont="1" applyFill="1" applyBorder="1" applyAlignment="1">
      <alignment horizontal="left" vertical="center" wrapText="1"/>
    </xf>
    <xf numFmtId="0" fontId="21" fillId="6" borderId="5" xfId="0" applyFont="1" applyFill="1" applyBorder="1" applyAlignment="1">
      <alignment horizontal="left" vertical="center"/>
    </xf>
    <xf numFmtId="0" fontId="21" fillId="6" borderId="5" xfId="0" applyFont="1" applyFill="1" applyBorder="1">
      <alignment vertical="center" wrapText="1"/>
    </xf>
    <xf numFmtId="0" fontId="21" fillId="6" borderId="5" xfId="0" applyFont="1" applyFill="1" applyBorder="1" applyAlignment="1">
      <alignment horizontal="center" vertical="center" wrapText="1"/>
    </xf>
    <xf numFmtId="0" fontId="1" fillId="2" borderId="5" xfId="0" applyFont="1" applyBorder="1" applyAlignment="1">
      <alignment horizontal="center" vertical="center" wrapText="1"/>
    </xf>
    <xf numFmtId="0" fontId="21" fillId="2" borderId="5" xfId="0" applyFont="1" applyBorder="1">
      <alignment vertical="center" wrapText="1"/>
    </xf>
    <xf numFmtId="0" fontId="21" fillId="2" borderId="5" xfId="0" applyFont="1" applyBorder="1" applyAlignment="1">
      <alignment vertical="center"/>
    </xf>
    <xf numFmtId="0" fontId="21" fillId="2" borderId="5" xfId="0" applyFont="1" applyBorder="1" applyAlignment="1">
      <alignment horizontal="center" vertical="center" wrapText="1"/>
    </xf>
    <xf numFmtId="0" fontId="21" fillId="6" borderId="5" xfId="0" applyFont="1" applyFill="1" applyBorder="1" applyAlignment="1">
      <alignment vertical="center"/>
    </xf>
    <xf numFmtId="0" fontId="21" fillId="6" borderId="3" xfId="0" applyFont="1" applyFill="1" applyBorder="1">
      <alignment vertical="center" wrapText="1"/>
    </xf>
    <xf numFmtId="0" fontId="21" fillId="6" borderId="3" xfId="0" applyFont="1" applyFill="1" applyBorder="1" applyAlignment="1">
      <alignment horizontal="center" vertical="center" wrapText="1"/>
    </xf>
    <xf numFmtId="0" fontId="10" fillId="0" borderId="0" xfId="14" applyFill="1" applyAlignment="1">
      <alignment horizontal="right" vertical="center" wrapText="1" indent="1" justifyLastLine="1" shrinkToFit="1"/>
    </xf>
    <xf numFmtId="0" fontId="22" fillId="4" borderId="6" xfId="13" applyFont="1" applyFill="1" applyBorder="1">
      <alignment horizontal="right" vertical="center"/>
    </xf>
    <xf numFmtId="7" fontId="22" fillId="4" borderId="6" xfId="11" applyFont="1" applyFill="1" applyBorder="1">
      <alignment horizontal="right" vertical="center"/>
    </xf>
    <xf numFmtId="0" fontId="22" fillId="4" borderId="7" xfId="13" applyFont="1" applyFill="1" applyBorder="1">
      <alignment horizontal="right" vertical="center"/>
    </xf>
    <xf numFmtId="7" fontId="22" fillId="4" borderId="7" xfId="11" applyFont="1" applyFill="1" applyBorder="1">
      <alignment horizontal="right" vertical="center"/>
    </xf>
    <xf numFmtId="0" fontId="22" fillId="4" borderId="7" xfId="13" applyFont="1" applyFill="1" applyBorder="1" applyAlignment="1">
      <alignment horizontal="right" vertical="center" wrapText="1"/>
    </xf>
    <xf numFmtId="0" fontId="22" fillId="4" borderId="6" xfId="13" applyFont="1" applyFill="1" applyBorder="1" applyAlignment="1">
      <alignment horizontal="right" vertical="center" wrapText="1"/>
    </xf>
    <xf numFmtId="0" fontId="28" fillId="0" borderId="0" xfId="19" applyFont="1" applyAlignment="1">
      <alignment horizontal="left" vertical="top" wrapText="1"/>
    </xf>
    <xf numFmtId="0" fontId="28" fillId="0" borderId="0" xfId="19" applyFont="1" applyAlignment="1">
      <alignment horizontal="left" vertical="center" wrapText="1" indent="1" justifyLastLine="1" shrinkToFit="1"/>
    </xf>
    <xf numFmtId="0" fontId="28" fillId="0" borderId="9" xfId="19" applyFont="1" applyBorder="1" applyAlignment="1">
      <alignment horizontal="left" vertical="center" wrapText="1" indent="1" justifyLastLine="1" shrinkToFit="1"/>
    </xf>
    <xf numFmtId="37" fontId="21" fillId="6" borderId="5" xfId="10" applyFont="1" applyFill="1" applyBorder="1" applyAlignment="1">
      <alignment horizontal="left" vertical="center"/>
    </xf>
    <xf numFmtId="37" fontId="21" fillId="2" borderId="5" xfId="10" applyFont="1" applyFill="1" applyBorder="1" applyAlignment="1">
      <alignment horizontal="left" vertical="center"/>
    </xf>
    <xf numFmtId="37" fontId="21" fillId="6" borderId="3" xfId="10" applyFont="1" applyFill="1" applyBorder="1" applyAlignment="1">
      <alignment horizontal="left" vertical="center"/>
    </xf>
    <xf numFmtId="0" fontId="26" fillId="2" borderId="3" xfId="0" applyFont="1" applyBorder="1">
      <alignment vertical="center" wrapText="1"/>
    </xf>
    <xf numFmtId="0" fontId="29" fillId="6" borderId="5" xfId="14" applyFont="1" applyFill="1" applyBorder="1">
      <alignment vertical="center" wrapText="1"/>
    </xf>
    <xf numFmtId="0" fontId="29" fillId="2" borderId="5" xfId="14" applyFont="1" applyBorder="1">
      <alignment vertical="center" wrapText="1"/>
    </xf>
    <xf numFmtId="0" fontId="29" fillId="6" borderId="3" xfId="14" applyFont="1" applyFill="1" applyBorder="1">
      <alignment vertical="center" wrapText="1"/>
    </xf>
    <xf numFmtId="0" fontId="30" fillId="2" borderId="3" xfId="0" applyFont="1" applyBorder="1">
      <alignment vertical="center" wrapText="1"/>
    </xf>
    <xf numFmtId="0" fontId="13" fillId="5" borderId="2" xfId="2" applyFont="1" applyFill="1" applyBorder="1" applyAlignment="1">
      <alignment horizontal="center" vertical="center" wrapText="1"/>
    </xf>
    <xf numFmtId="0" fontId="19" fillId="5" borderId="2" xfId="2" applyFont="1" applyFill="1" applyBorder="1" applyAlignment="1">
      <alignment horizontal="center" vertical="center" wrapText="1"/>
    </xf>
    <xf numFmtId="0" fontId="19" fillId="5" borderId="2" xfId="2" applyFont="1" applyFill="1" applyBorder="1" applyAlignment="1">
      <alignment horizontal="center" vertical="center"/>
    </xf>
    <xf numFmtId="0" fontId="19" fillId="5" borderId="2" xfId="2" applyFont="1" applyFill="1" applyBorder="1" applyAlignment="1">
      <alignment horizontal="left" vertical="center" wrapText="1"/>
    </xf>
    <xf numFmtId="0" fontId="19" fillId="5" borderId="2" xfId="2" applyFont="1" applyFill="1" applyBorder="1" applyAlignment="1">
      <alignment horizontal="left" vertical="center"/>
    </xf>
    <xf numFmtId="0" fontId="20" fillId="5" borderId="2" xfId="2" applyFont="1" applyFill="1" applyBorder="1" applyAlignment="1">
      <alignment horizontal="center" vertical="center" wrapText="1"/>
    </xf>
    <xf numFmtId="0" fontId="27" fillId="5" borderId="2" xfId="2" applyFont="1" applyFill="1" applyBorder="1" applyAlignment="1">
      <alignment horizontal="center" vertical="center" wrapText="1"/>
    </xf>
    <xf numFmtId="0" fontId="31" fillId="0" borderId="0" xfId="19" applyFont="1" applyAlignment="1">
      <alignment horizontal="right" vertical="center" wrapText="1" indent="1" justifyLastLine="1" shrinkToFit="1"/>
    </xf>
    <xf numFmtId="0" fontId="31" fillId="0" borderId="0" xfId="19" applyFont="1"/>
    <xf numFmtId="0" fontId="34" fillId="8" borderId="4" xfId="19" applyFont="1" applyFill="1" applyBorder="1" applyAlignment="1">
      <alignment horizontal="center" vertical="center" wrapText="1" justifyLastLine="1" shrinkToFit="1"/>
    </xf>
    <xf numFmtId="0" fontId="34" fillId="0" borderId="0" xfId="19" applyFont="1"/>
    <xf numFmtId="0" fontId="36" fillId="2" borderId="0" xfId="0" applyFont="1">
      <alignment vertical="center" wrapText="1"/>
    </xf>
    <xf numFmtId="0" fontId="28" fillId="0" borderId="11" xfId="19" applyFont="1" applyBorder="1" applyAlignment="1">
      <alignment horizontal="left" vertical="center" wrapText="1" indent="1" justifyLastLine="1" shrinkToFit="1"/>
    </xf>
    <xf numFmtId="0" fontId="28" fillId="0" borderId="12" xfId="19" applyFont="1" applyBorder="1" applyAlignment="1">
      <alignment horizontal="left" vertical="center" wrapText="1" indent="1" justifyLastLine="1" shrinkToFit="1"/>
    </xf>
    <xf numFmtId="0" fontId="28" fillId="0" borderId="13" xfId="19" applyFont="1" applyBorder="1" applyAlignment="1">
      <alignment horizontal="left" vertical="center" wrapText="1" indent="1" justifyLastLine="1" shrinkToFit="1"/>
    </xf>
    <xf numFmtId="0" fontId="28" fillId="0" borderId="15" xfId="19" applyFont="1" applyBorder="1" applyAlignment="1">
      <alignment horizontal="left" vertical="center" wrapText="1" indent="1" justifyLastLine="1" shrinkToFit="1"/>
    </xf>
    <xf numFmtId="0" fontId="28" fillId="0" borderId="17" xfId="19" applyFont="1" applyBorder="1" applyAlignment="1">
      <alignment horizontal="left" vertical="center" wrapText="1" indent="1" justifyLastLine="1" shrinkToFit="1"/>
    </xf>
    <xf numFmtId="0" fontId="28" fillId="0" borderId="18" xfId="19" applyFont="1" applyBorder="1" applyAlignment="1">
      <alignment horizontal="left" vertical="center" wrapText="1" indent="1" justifyLastLine="1" shrinkToFit="1"/>
    </xf>
    <xf numFmtId="0" fontId="28" fillId="0" borderId="20" xfId="19" applyFont="1" applyBorder="1" applyAlignment="1">
      <alignment horizontal="left" vertical="center" wrapText="1" indent="1" justifyLastLine="1" shrinkToFit="1"/>
    </xf>
    <xf numFmtId="0" fontId="28" fillId="0" borderId="22" xfId="19" applyFont="1" applyBorder="1" applyAlignment="1">
      <alignment horizontal="left" vertical="center" wrapText="1" indent="1" justifyLastLine="1" shrinkToFit="1"/>
    </xf>
    <xf numFmtId="0" fontId="28" fillId="0" borderId="25" xfId="19" applyFont="1" applyBorder="1" applyAlignment="1">
      <alignment horizontal="left" vertical="center" wrapText="1" indent="1" justifyLastLine="1" shrinkToFit="1"/>
    </xf>
    <xf numFmtId="0" fontId="28" fillId="0" borderId="24" xfId="19" applyFont="1" applyBorder="1" applyAlignment="1">
      <alignment horizontal="left" vertical="center" wrapText="1" indent="1" justifyLastLine="1" shrinkToFit="1"/>
    </xf>
    <xf numFmtId="0" fontId="35" fillId="0" borderId="16" xfId="19" applyFont="1" applyBorder="1" applyAlignment="1">
      <alignment horizontal="center" vertical="center" wrapText="1" justifyLastLine="1" shrinkToFit="1"/>
    </xf>
    <xf numFmtId="0" fontId="35" fillId="0" borderId="19" xfId="19" applyFont="1" applyBorder="1" applyAlignment="1">
      <alignment horizontal="center" vertical="center" wrapText="1" justifyLastLine="1" shrinkToFit="1"/>
    </xf>
    <xf numFmtId="0" fontId="35" fillId="0" borderId="23" xfId="19" applyFont="1" applyBorder="1" applyAlignment="1">
      <alignment horizontal="center" vertical="center" wrapText="1" justifyLastLine="1" shrinkToFit="1"/>
    </xf>
    <xf numFmtId="0" fontId="35" fillId="0" borderId="21" xfId="19" applyFont="1" applyBorder="1" applyAlignment="1">
      <alignment horizontal="center" vertical="center" wrapText="1" justifyLastLine="1" shrinkToFit="1"/>
    </xf>
    <xf numFmtId="0" fontId="35" fillId="0" borderId="14" xfId="19" applyFont="1" applyBorder="1" applyAlignment="1">
      <alignment horizontal="center" vertical="center" wrapText="1" justifyLastLine="1" shrinkToFit="1"/>
    </xf>
    <xf numFmtId="0" fontId="33" fillId="0" borderId="0" xfId="19" applyFont="1" applyAlignment="1">
      <alignment horizontal="center"/>
    </xf>
    <xf numFmtId="0" fontId="32" fillId="0" borderId="0" xfId="19" applyFont="1" applyAlignment="1">
      <alignment horizontal="center"/>
    </xf>
    <xf numFmtId="0" fontId="0" fillId="0" borderId="0" xfId="0" applyFill="1" applyAlignment="1">
      <alignment horizontal="center" vertical="center" wrapText="1"/>
    </xf>
    <xf numFmtId="0" fontId="6" fillId="4" borderId="0" xfId="18" applyFill="1" applyAlignment="1">
      <alignment horizontal="center" vertical="center"/>
    </xf>
    <xf numFmtId="0" fontId="5" fillId="4" borderId="0" xfId="1" applyFill="1" applyAlignment="1">
      <alignment horizontal="center" vertical="center"/>
    </xf>
    <xf numFmtId="7" fontId="4" fillId="4" borderId="1" xfId="9" applyFill="1" applyAlignment="1">
      <alignment horizontal="center" vertical="center" wrapText="1"/>
    </xf>
    <xf numFmtId="0" fontId="23" fillId="4" borderId="0" xfId="13" applyFont="1" applyFill="1" applyAlignment="1">
      <alignment horizontal="center" vertical="center"/>
    </xf>
    <xf numFmtId="0" fontId="0" fillId="4" borderId="0" xfId="13" applyFont="1" applyFill="1" applyAlignment="1">
      <alignment horizontal="center" vertical="center"/>
    </xf>
    <xf numFmtId="7" fontId="0" fillId="4" borderId="0" xfId="11" applyFont="1" applyFill="1" applyAlignment="1">
      <alignment horizontal="center" vertical="center"/>
    </xf>
    <xf numFmtId="0" fontId="26" fillId="2" borderId="3" xfId="0" applyFont="1" applyBorder="1" applyAlignment="1">
      <alignment horizontal="center" vertical="center" wrapText="1"/>
    </xf>
    <xf numFmtId="0" fontId="37" fillId="8" borderId="4" xfId="19" applyFont="1" applyFill="1" applyBorder="1" applyAlignment="1">
      <alignment horizontal="center" vertical="center" wrapText="1" justifyLastLine="1" shrinkToFit="1"/>
    </xf>
    <xf numFmtId="9" fontId="39" fillId="4" borderId="0" xfId="4" applyFont="1" applyFill="1">
      <alignment horizontal="left" vertical="center"/>
    </xf>
    <xf numFmtId="176" fontId="1" fillId="4" borderId="0" xfId="4" applyNumberFormat="1" applyFont="1" applyFill="1">
      <alignment horizontal="left" vertical="center"/>
    </xf>
    <xf numFmtId="0" fontId="26" fillId="2" borderId="3" xfId="0" applyFont="1" applyBorder="1" applyAlignment="1">
      <alignment horizontal="left" vertical="center" wrapText="1"/>
    </xf>
    <xf numFmtId="0" fontId="26" fillId="6" borderId="3" xfId="0" applyFont="1" applyFill="1" applyBorder="1" applyAlignment="1">
      <alignment horizontal="left" vertical="center" wrapText="1"/>
    </xf>
    <xf numFmtId="0" fontId="22" fillId="4" borderId="7" xfId="13" applyNumberFormat="1" applyFont="1" applyFill="1" applyBorder="1" applyAlignment="1">
      <alignment horizontal="right" vertical="center" wrapText="1"/>
    </xf>
    <xf numFmtId="0" fontId="22" fillId="4" borderId="7" xfId="13" applyFont="1" applyFill="1" applyBorder="1" applyAlignment="1">
      <alignment horizontal="right" vertical="center" wrapText="1"/>
    </xf>
    <xf numFmtId="0" fontId="22" fillId="4" borderId="6" xfId="13" applyFont="1" applyFill="1" applyBorder="1" applyAlignment="1">
      <alignment horizontal="right" vertical="center" wrapText="1"/>
    </xf>
    <xf numFmtId="7" fontId="22" fillId="4" borderId="6" xfId="11" applyFont="1" applyFill="1" applyBorder="1" applyAlignment="1">
      <alignment horizontal="right" vertical="center" wrapText="1"/>
    </xf>
    <xf numFmtId="7" fontId="38" fillId="4" borderId="7" xfId="11" applyFont="1" applyFill="1" applyBorder="1" applyAlignment="1">
      <alignment horizontal="right" vertical="center" wrapText="1"/>
    </xf>
    <xf numFmtId="0" fontId="22" fillId="4" borderId="8" xfId="13" applyFont="1" applyFill="1" applyBorder="1" applyAlignment="1">
      <alignment horizontal="right" vertical="center" wrapText="1"/>
    </xf>
    <xf numFmtId="0" fontId="22" fillId="4" borderId="8" xfId="13" applyFont="1" applyFill="1" applyBorder="1" applyAlignment="1">
      <alignment horizontal="center" vertical="center" wrapText="1"/>
    </xf>
    <xf numFmtId="0" fontId="26" fillId="6" borderId="10" xfId="0" applyFont="1" applyFill="1" applyBorder="1" applyAlignment="1">
      <alignment horizontal="left" vertical="center" wrapText="1"/>
    </xf>
  </cellXfs>
  <cellStyles count="20">
    <cellStyle name="20% - 着色 4" xfId="16" builtinId="42"/>
    <cellStyle name="Budget labels" xfId="13" xr:uid="{00000000-0005-0000-0000-000001000000}"/>
    <cellStyle name="Done" xfId="12" xr:uid="{00000000-0005-0000-0000-000005000000}"/>
    <cellStyle name="Title 2" xfId="17" xr:uid="{00000000-0005-0000-0000-000010000000}"/>
    <cellStyle name="zHide text" xfId="6" xr:uid="{00000000-0005-0000-0000-000012000000}"/>
    <cellStyle name="千位分隔" xfId="10" builtinId="3" customBuiltin="1"/>
    <cellStyle name="已访问的超链接" xfId="15" builtinId="9" customBuiltin="1"/>
    <cellStyle name="常规" xfId="0" builtinId="0" customBuiltin="1"/>
    <cellStyle name="常规 2" xfId="19" xr:uid="{FE971702-C168-43EA-B5E5-9C8C44986D14}"/>
    <cellStyle name="标题" xfId="5" builtinId="15" customBuiltin="1"/>
    <cellStyle name="标题 1" xfId="1" builtinId="16" customBuiltin="1"/>
    <cellStyle name="标题 2" xfId="2" builtinId="17" customBuiltin="1"/>
    <cellStyle name="标题 3" xfId="7" builtinId="18" customBuiltin="1"/>
    <cellStyle name="标题 4" xfId="8" builtinId="19" customBuiltin="1"/>
    <cellStyle name="汇总" xfId="9" builtinId="25" customBuiltin="1"/>
    <cellStyle name="百分比" xfId="4" builtinId="5" customBuiltin="1"/>
    <cellStyle name="解释性文本" xfId="18" builtinId="53" customBuiltin="1"/>
    <cellStyle name="货币" xfId="3" builtinId="4" customBuiltin="1"/>
    <cellStyle name="货币[0]" xfId="11" builtinId="7" customBuiltin="1"/>
    <cellStyle name="超链接" xfId="14" builtinId="8" customBuiltin="1"/>
  </cellStyles>
  <dxfs count="5">
    <dxf>
      <font>
        <color theme="4" tint="-0.24994659260841701"/>
      </font>
      <border>
        <bottom style="thin">
          <color theme="4"/>
        </bottom>
        <vertical/>
        <horizontal/>
      </border>
    </dxf>
    <dxf>
      <font>
        <color theme="4" tint="-0.24994659260841701"/>
      </font>
      <fill>
        <patternFill patternType="none">
          <bgColor auto="1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ont>
        <b val="0"/>
        <i val="0"/>
      </font>
      <fill>
        <patternFill patternType="solid">
          <fgColor theme="0" tint="-0.14993743705557422"/>
          <bgColor theme="0" tint="-4.9989318521683403E-2"/>
        </patternFill>
      </fill>
    </dxf>
    <dxf>
      <font>
        <b/>
        <i val="0"/>
      </font>
      <fill>
        <patternFill patternType="none">
          <bgColor auto="1"/>
        </patternFill>
      </fill>
      <border>
        <top/>
        <bottom style="thick">
          <color theme="2" tint="-0.499984740745262"/>
        </bottom>
      </border>
    </dxf>
    <dxf>
      <font>
        <b val="0"/>
        <i val="0"/>
        <color theme="1"/>
      </font>
      <border diagonalUp="0" diagonalDown="0">
        <left/>
        <right/>
        <top style="dotted">
          <color theme="2" tint="-0.499984740745262"/>
        </top>
        <bottom style="dotted">
          <color theme="2" tint="-0.499984740745262"/>
        </bottom>
        <vertical/>
        <horizontal style="dotted">
          <color theme="2" tint="-0.499984740745262"/>
        </horizontal>
      </border>
    </dxf>
  </dxfs>
  <tableStyles count="2" defaultTableStyle="TableStyleMedium2" defaultPivotStyle="PivotStyleLight16">
    <tableStyle name="College Checklist" pivot="0" count="3" xr9:uid="{00000000-0011-0000-FFFF-FFFF00000000}">
      <tableStyleElement type="wholeTable" dxfId="4"/>
      <tableStyleElement type="headerRow" dxfId="3"/>
      <tableStyleElement type="firstRowStripe" dxfId="2"/>
    </tableStyle>
    <tableStyle name="Shopping List" pivot="0" table="0" count="10" xr9:uid="{00000000-0011-0000-FFFF-FFFF01000000}">
      <tableStyleElement type="wholeTable" dxfId="1"/>
      <tableStyleElement type="headerRow" dxfId="0"/>
    </tableStyle>
  </tableStyles>
  <colors>
    <mruColors>
      <color rgb="FFBE1F16"/>
      <color rgb="FF0066FF"/>
      <color rgb="FFF2543A"/>
      <color rgb="FFD8EFF1"/>
      <color rgb="FFEAEAEA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hopping List">
        <x14:slicerStyle name="Shopping List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786409381665122E-2"/>
          <c:y val="0.25048243969503814"/>
          <c:w val="0.90471623009879287"/>
          <c:h val="0.3982002249718785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HealthReport!$A$1</c:f>
              <c:strCache>
                <c:ptCount val="1"/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29A-442B-AB08-6F070EE98C93}"/>
              </c:ext>
            </c:extLst>
          </c:dPt>
          <c:dLbls>
            <c:dLbl>
              <c:idx val="0"/>
              <c:layout>
                <c:manualLayout>
                  <c:x val="-0.10545777809832947"/>
                  <c:y val="-7.886219855390288E-3"/>
                </c:manualLayout>
              </c:layout>
              <c:numFmt formatCode="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600" b="0" i="0" u="none" strike="noStrike" kern="1200" baseline="0">
                      <a:solidFill>
                        <a:srgbClr val="BE1F1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1051975144704917"/>
                      <c:h val="0.4256199065576091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129A-442B-AB08-6F070EE98C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HealthReport!$L$12</c:f>
              <c:numCache>
                <c:formatCode>0%</c:formatCode>
                <c:ptCount val="1"/>
              </c:numCache>
            </c:numRef>
          </c:cat>
          <c:val>
            <c:numRef>
              <c:f>HealthReport!$L$14</c:f>
              <c:numCache>
                <c:formatCode>0%</c:formatCode>
                <c:ptCount val="1"/>
                <c:pt idx="0">
                  <c:v>0.96470588235294119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29A-442B-AB08-6F070EE98C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"/>
        <c:axId val="564033872"/>
        <c:axId val="564033480"/>
      </c:barChart>
      <c:valAx>
        <c:axId val="564033480"/>
        <c:scaling>
          <c:orientation val="minMax"/>
          <c:max val="1"/>
          <c:min val="0"/>
        </c:scaling>
        <c:delete val="0"/>
        <c:axPos val="b"/>
        <c:numFmt formatCode="0%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1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4033872"/>
        <c:crosses val="autoZero"/>
        <c:crossBetween val="between"/>
        <c:majorUnit val="0.25"/>
      </c:valAx>
      <c:catAx>
        <c:axId val="564033872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564033480"/>
        <c:crosses val="autoZero"/>
        <c:auto val="1"/>
        <c:lblAlgn val="ctr"/>
        <c:lblOffset val="100"/>
        <c:noMultiLvlLbl val="0"/>
      </c:catAx>
      <c:spPr>
        <a:noFill/>
        <a:ln w="25400" cap="flat">
          <a:solidFill>
            <a:schemeClr val="tx1">
              <a:alpha val="99000"/>
            </a:schemeClr>
          </a:solidFill>
          <a:round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gradFill flip="none" rotWithShape="1">
          <a:gsLst>
            <a:gs pos="34000">
              <a:schemeClr val="tx2">
                <a:lumMod val="10000"/>
                <a:lumOff val="90000"/>
              </a:schemeClr>
            </a:gs>
            <a:gs pos="0">
              <a:schemeClr val="bg1">
                <a:lumMod val="85000"/>
              </a:schemeClr>
            </a:gs>
            <a:gs pos="100000">
              <a:schemeClr val="bg1">
                <a:lumMod val="75000"/>
              </a:schemeClr>
            </a:gs>
          </a:gsLst>
          <a:path path="shape">
            <a:fillToRect l="50000" t="50000" r="50000" b="50000"/>
          </a:path>
          <a:tileRect/>
        </a:gradFill>
        <a:ln w="9525">
          <a:noFill/>
        </a:ln>
        <a:effectLst/>
        <a:sp3d/>
      </c:spPr>
    </c:sideWall>
    <c:backWall>
      <c:thickness val="0"/>
      <c:spPr>
        <a:gradFill flip="none" rotWithShape="1">
          <a:gsLst>
            <a:gs pos="34000">
              <a:schemeClr val="tx2">
                <a:lumMod val="10000"/>
                <a:lumOff val="90000"/>
              </a:schemeClr>
            </a:gs>
            <a:gs pos="0">
              <a:schemeClr val="bg1">
                <a:lumMod val="85000"/>
              </a:schemeClr>
            </a:gs>
            <a:gs pos="100000">
              <a:schemeClr val="bg1">
                <a:lumMod val="75000"/>
              </a:schemeClr>
            </a:gs>
          </a:gsLst>
          <a:path path="shape">
            <a:fillToRect l="50000" t="50000" r="50000" b="50000"/>
          </a:path>
          <a:tileRect/>
        </a:gradFill>
        <a:ln w="9525">
          <a:solidFill>
            <a:schemeClr val="tx1"/>
          </a:solidFill>
        </a:ln>
        <a:effectLst/>
        <a:sp3d contourW="9525">
          <a:contourClr>
            <a:schemeClr val="tx1"/>
          </a:contourClr>
        </a:sp3d>
      </c:spPr>
    </c:backWall>
    <c:plotArea>
      <c:layout>
        <c:manualLayout>
          <c:layoutTarget val="inner"/>
          <c:xMode val="edge"/>
          <c:yMode val="edge"/>
          <c:x val="0.27374442229583901"/>
          <c:y val="5.1366979378933877E-2"/>
          <c:w val="0.66862974927011976"/>
          <c:h val="0.7334829606500258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HealthReport!$D$14</c:f>
              <c:strCache>
                <c:ptCount val="1"/>
                <c:pt idx="0">
                  <c:v>重要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HealthReport!$C$15:$C$24</c:f>
              <c:strCache>
                <c:ptCount val="10"/>
                <c:pt idx="0">
                  <c:v>主机系统</c:v>
                </c:pt>
                <c:pt idx="1">
                  <c:v>数据库分析</c:v>
                </c:pt>
                <c:pt idx="2">
                  <c:v>实例分析</c:v>
                </c:pt>
                <c:pt idx="3">
                  <c:v>数据库性能</c:v>
                </c:pt>
                <c:pt idx="4">
                  <c:v>数据库集群</c:v>
                </c:pt>
                <c:pt idx="5">
                  <c:v>DataGuard</c:v>
                </c:pt>
                <c:pt idx="6">
                  <c:v>数据库备份</c:v>
                </c:pt>
                <c:pt idx="7">
                  <c:v>数据库安全</c:v>
                </c:pt>
                <c:pt idx="8">
                  <c:v>软件使用</c:v>
                </c:pt>
                <c:pt idx="9">
                  <c:v>其他项检查</c:v>
                </c:pt>
              </c:strCache>
            </c:strRef>
          </c:cat>
          <c:val>
            <c:numRef>
              <c:f>HealthReport!$D$15:$D$24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B5-422E-B41C-38AD1D946952}"/>
            </c:ext>
          </c:extLst>
        </c:ser>
        <c:ser>
          <c:idx val="1"/>
          <c:order val="1"/>
          <c:tx>
            <c:strRef>
              <c:f>HealthReport!$E$14</c:f>
              <c:strCache>
                <c:ptCount val="1"/>
                <c:pt idx="0">
                  <c:v>普通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  <a:contourClr>
                <a:srgbClr val="0070C0"/>
              </a:contourClr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HealthReport!$C$15:$C$24</c:f>
              <c:strCache>
                <c:ptCount val="10"/>
                <c:pt idx="0">
                  <c:v>主机系统</c:v>
                </c:pt>
                <c:pt idx="1">
                  <c:v>数据库分析</c:v>
                </c:pt>
                <c:pt idx="2">
                  <c:v>实例分析</c:v>
                </c:pt>
                <c:pt idx="3">
                  <c:v>数据库性能</c:v>
                </c:pt>
                <c:pt idx="4">
                  <c:v>数据库集群</c:v>
                </c:pt>
                <c:pt idx="5">
                  <c:v>DataGuard</c:v>
                </c:pt>
                <c:pt idx="6">
                  <c:v>数据库备份</c:v>
                </c:pt>
                <c:pt idx="7">
                  <c:v>数据库安全</c:v>
                </c:pt>
                <c:pt idx="8">
                  <c:v>软件使用</c:v>
                </c:pt>
                <c:pt idx="9">
                  <c:v>其他项检查</c:v>
                </c:pt>
              </c:strCache>
            </c:strRef>
          </c:cat>
          <c:val>
            <c:numRef>
              <c:f>HealthReport!$E$15:$E$24</c:f>
              <c:numCache>
                <c:formatCode>General</c:formatCode>
                <c:ptCount val="1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B5-422E-B41C-38AD1D946952}"/>
            </c:ext>
          </c:extLst>
        </c:ser>
        <c:ser>
          <c:idx val="2"/>
          <c:order val="2"/>
          <c:tx>
            <c:strRef>
              <c:f>HealthReport!$F$14</c:f>
              <c:strCache>
                <c:ptCount val="1"/>
                <c:pt idx="0">
                  <c:v>轻微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HealthReport!$C$15:$C$24</c:f>
              <c:strCache>
                <c:ptCount val="10"/>
                <c:pt idx="0">
                  <c:v>主机系统</c:v>
                </c:pt>
                <c:pt idx="1">
                  <c:v>数据库分析</c:v>
                </c:pt>
                <c:pt idx="2">
                  <c:v>实例分析</c:v>
                </c:pt>
                <c:pt idx="3">
                  <c:v>数据库性能</c:v>
                </c:pt>
                <c:pt idx="4">
                  <c:v>数据库集群</c:v>
                </c:pt>
                <c:pt idx="5">
                  <c:v>DataGuard</c:v>
                </c:pt>
                <c:pt idx="6">
                  <c:v>数据库备份</c:v>
                </c:pt>
                <c:pt idx="7">
                  <c:v>数据库安全</c:v>
                </c:pt>
                <c:pt idx="8">
                  <c:v>软件使用</c:v>
                </c:pt>
                <c:pt idx="9">
                  <c:v>其他项检查</c:v>
                </c:pt>
              </c:strCache>
            </c:strRef>
          </c:cat>
          <c:val>
            <c:numRef>
              <c:f>HealthReport!$F$15:$F$24</c:f>
              <c:numCache>
                <c:formatCode>General</c:formatCode>
                <c:ptCount val="10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B5-422E-B41C-38AD1D9469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5"/>
        <c:gapDepth val="390"/>
        <c:shape val="box"/>
        <c:axId val="984238799"/>
        <c:axId val="984241679"/>
        <c:axId val="0"/>
      </c:bar3DChart>
      <c:catAx>
        <c:axId val="9842387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84241679"/>
        <c:crosses val="autoZero"/>
        <c:auto val="1"/>
        <c:lblAlgn val="l"/>
        <c:lblOffset val="100"/>
        <c:noMultiLvlLbl val="0"/>
      </c:catAx>
      <c:valAx>
        <c:axId val="984241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842387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26000">
          <a:schemeClr val="bg1">
            <a:lumMod val="65000"/>
          </a:schemeClr>
        </a:gs>
        <a:gs pos="0">
          <a:schemeClr val="bg1">
            <a:lumMod val="65000"/>
          </a:schemeClr>
        </a:gs>
        <a:gs pos="98000">
          <a:schemeClr val="tx1">
            <a:lumMod val="50000"/>
            <a:lumOff val="50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40239</xdr:colOff>
      <xdr:row>0</xdr:row>
      <xdr:rowOff>162145</xdr:rowOff>
    </xdr:from>
    <xdr:to>
      <xdr:col>10</xdr:col>
      <xdr:colOff>1056345</xdr:colOff>
      <xdr:row>0</xdr:row>
      <xdr:rowOff>834610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EFC97509-69C0-FE95-1924-B7AB136F50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93489" y="162145"/>
          <a:ext cx="1972070" cy="672465"/>
        </a:xfrm>
        <a:prstGeom prst="rect">
          <a:avLst/>
        </a:prstGeom>
      </xdr:spPr>
    </xdr:pic>
    <xdr:clientData/>
  </xdr:twoCellAnchor>
  <xdr:twoCellAnchor editAs="oneCell">
    <xdr:from>
      <xdr:col>6</xdr:col>
      <xdr:colOff>368949</xdr:colOff>
      <xdr:row>12</xdr:row>
      <xdr:rowOff>269761</xdr:rowOff>
    </xdr:from>
    <xdr:to>
      <xdr:col>10</xdr:col>
      <xdr:colOff>986518</xdr:colOff>
      <xdr:row>14</xdr:row>
      <xdr:rowOff>309561</xdr:rowOff>
    </xdr:to>
    <xdr:graphicFrame macro="">
      <xdr:nvGraphicFramePr>
        <xdr:cNvPr id="5" name="Progress chart" descr="Progress bar depicting purchasing progress">
          <a:extLst>
            <a:ext uri="{FF2B5EF4-FFF2-40B4-BE49-F238E27FC236}">
              <a16:creationId xmlns:a16="http://schemas.microsoft.com/office/drawing/2014/main" id="{C6FDBF44-3117-44D3-86FB-4212B72B1B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219542</xdr:colOff>
      <xdr:row>15</xdr:row>
      <xdr:rowOff>107122</xdr:rowOff>
    </xdr:from>
    <xdr:to>
      <xdr:col>10</xdr:col>
      <xdr:colOff>579258</xdr:colOff>
      <xdr:row>24</xdr:row>
      <xdr:rowOff>159768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D8602FE4-E55F-EAAD-F8DB-942A483D70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College Move Checklist">
      <a:dk1>
        <a:srgbClr val="000000"/>
      </a:dk1>
      <a:lt1>
        <a:srgbClr val="FFFFFF"/>
      </a:lt1>
      <a:dk2>
        <a:srgbClr val="3A0F0D"/>
      </a:dk2>
      <a:lt2>
        <a:srgbClr val="FCF7F3"/>
      </a:lt2>
      <a:accent1>
        <a:srgbClr val="E73D36"/>
      </a:accent1>
      <a:accent2>
        <a:srgbClr val="A7B73E"/>
      </a:accent2>
      <a:accent3>
        <a:srgbClr val="FA9E21"/>
      </a:accent3>
      <a:accent4>
        <a:srgbClr val="42ADBA"/>
      </a:accent4>
      <a:accent5>
        <a:srgbClr val="F7D93B"/>
      </a:accent5>
      <a:accent6>
        <a:srgbClr val="8C405E"/>
      </a:accent6>
      <a:hlink>
        <a:srgbClr val="42ADBA"/>
      </a:hlink>
      <a:folHlink>
        <a:srgbClr val="9E6B9C"/>
      </a:folHlink>
    </a:clrScheme>
    <a:fontScheme name="College Move Checklist">
      <a:majorFont>
        <a:latin typeface="Impact"/>
        <a:ea typeface=""/>
        <a:cs typeface=""/>
      </a:majorFont>
      <a:minorFont>
        <a:latin typeface="Corbel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2" tint="-0.249977111117893"/>
    <pageSetUpPr autoPageBreaks="0" fitToPage="1"/>
  </sheetPr>
  <dimension ref="B1:P70"/>
  <sheetViews>
    <sheetView showGridLines="0" tabSelected="1" topLeftCell="A9" zoomScale="112" zoomScaleNormal="112" zoomScaleSheetLayoutView="100" workbookViewId="0">
      <selection activeCell="L14" sqref="L14"/>
    </sheetView>
  </sheetViews>
  <sheetFormatPr defaultRowHeight="30" customHeight="1" x14ac:dyDescent="0.25"/>
  <cols>
    <col min="1" max="1" width="11.625" customWidth="1"/>
    <col min="2" max="2" width="5.25" style="16" customWidth="1"/>
    <col min="3" max="3" width="15.625" customWidth="1"/>
    <col min="4" max="5" width="12.625" customWidth="1"/>
    <col min="6" max="6" width="12.625" style="16" customWidth="1"/>
    <col min="7" max="7" width="6.375" customWidth="1"/>
    <col min="8" max="8" width="15.625" customWidth="1"/>
    <col min="9" max="10" width="12.625" customWidth="1"/>
    <col min="11" max="11" width="16.375" customWidth="1"/>
    <col min="12" max="12" width="6.75" customWidth="1"/>
    <col min="13" max="13" width="5.5" customWidth="1"/>
  </cols>
  <sheetData>
    <row r="1" spans="2:16" ht="73.5" customHeight="1" x14ac:dyDescent="0.25">
      <c r="B1" s="21"/>
      <c r="C1" s="22" t="s">
        <v>0</v>
      </c>
      <c r="D1" s="22"/>
      <c r="E1" s="22"/>
      <c r="F1" s="25" t="s">
        <v>34</v>
      </c>
      <c r="G1" s="25"/>
      <c r="H1" s="23"/>
      <c r="I1" s="23"/>
      <c r="J1" s="23"/>
      <c r="K1" s="24"/>
      <c r="L1" s="24"/>
    </row>
    <row r="2" spans="2:16" ht="27.6" customHeight="1" x14ac:dyDescent="0.25">
      <c r="B2" s="13"/>
      <c r="C2" s="11"/>
      <c r="D2" s="2"/>
      <c r="E2" s="2"/>
      <c r="F2" s="88"/>
      <c r="G2" s="2"/>
      <c r="H2" s="2"/>
      <c r="I2" s="2"/>
      <c r="J2" s="2"/>
      <c r="K2" s="2"/>
      <c r="L2" s="2"/>
    </row>
    <row r="3" spans="2:16" ht="30" customHeight="1" x14ac:dyDescent="0.25">
      <c r="B3" s="13"/>
      <c r="C3" s="3" t="s">
        <v>1</v>
      </c>
      <c r="D3" s="5"/>
      <c r="E3" s="3"/>
      <c r="F3" s="89"/>
      <c r="G3" s="4"/>
      <c r="H3" s="5" t="s">
        <v>2</v>
      </c>
      <c r="I3" s="5"/>
      <c r="J3" s="5"/>
      <c r="K3" s="5"/>
      <c r="L3" s="2"/>
    </row>
    <row r="4" spans="2:16" ht="39.950000000000003" customHeight="1" x14ac:dyDescent="0.25">
      <c r="B4" s="13"/>
      <c r="C4" s="41" t="s">
        <v>3</v>
      </c>
      <c r="D4" s="42"/>
      <c r="E4" s="103" t="s">
        <v>82</v>
      </c>
      <c r="F4" s="103"/>
      <c r="G4" s="19"/>
      <c r="H4" s="46" t="s">
        <v>14</v>
      </c>
      <c r="I4" s="46"/>
      <c r="J4" s="102" t="s">
        <v>5</v>
      </c>
      <c r="K4" s="102"/>
      <c r="L4" s="2"/>
    </row>
    <row r="5" spans="2:16" ht="42.75" customHeight="1" x14ac:dyDescent="0.25">
      <c r="B5" s="13"/>
      <c r="C5" s="43" t="s">
        <v>37</v>
      </c>
      <c r="D5" s="44"/>
      <c r="E5" s="104" t="s">
        <v>83</v>
      </c>
      <c r="F5" s="104"/>
      <c r="G5" s="19"/>
      <c r="H5" s="43" t="s">
        <v>6</v>
      </c>
      <c r="I5" s="43"/>
      <c r="J5" s="101" t="s">
        <v>91</v>
      </c>
      <c r="K5" s="101"/>
      <c r="L5" s="2"/>
    </row>
    <row r="6" spans="2:16" ht="39.950000000000003" customHeight="1" x14ac:dyDescent="0.25">
      <c r="B6" s="13"/>
      <c r="C6" s="43" t="s">
        <v>89</v>
      </c>
      <c r="D6" s="43"/>
      <c r="E6" s="101" t="s">
        <v>84</v>
      </c>
      <c r="F6" s="101"/>
      <c r="G6" s="19"/>
      <c r="H6" s="43" t="s">
        <v>7</v>
      </c>
      <c r="I6" s="43"/>
      <c r="J6" s="101" t="s">
        <v>8</v>
      </c>
      <c r="K6" s="101"/>
      <c r="L6" s="2"/>
    </row>
    <row r="7" spans="2:16" ht="39.950000000000003" customHeight="1" x14ac:dyDescent="0.25">
      <c r="B7" s="13"/>
      <c r="C7" s="43" t="s">
        <v>40</v>
      </c>
      <c r="D7" s="45"/>
      <c r="E7" s="101" t="s">
        <v>85</v>
      </c>
      <c r="F7" s="101"/>
      <c r="G7" s="19"/>
      <c r="H7" s="43" t="s">
        <v>59</v>
      </c>
      <c r="I7" s="43"/>
      <c r="J7" s="101" t="s">
        <v>15</v>
      </c>
      <c r="K7" s="101"/>
      <c r="L7" s="2"/>
      <c r="P7" s="1"/>
    </row>
    <row r="8" spans="2:16" ht="39.950000000000003" customHeight="1" x14ac:dyDescent="0.25">
      <c r="B8" s="13"/>
      <c r="C8" s="43" t="s">
        <v>78</v>
      </c>
      <c r="D8" s="43"/>
      <c r="E8" s="100" t="s">
        <v>86</v>
      </c>
      <c r="F8" s="101"/>
      <c r="G8" s="20"/>
      <c r="H8" s="43" t="s">
        <v>106</v>
      </c>
      <c r="I8" s="43"/>
      <c r="J8" s="101" t="s">
        <v>10</v>
      </c>
      <c r="K8" s="101"/>
      <c r="L8" s="2"/>
    </row>
    <row r="9" spans="2:16" ht="39.950000000000003" customHeight="1" x14ac:dyDescent="0.25">
      <c r="B9" s="13"/>
      <c r="C9" s="43" t="s">
        <v>4</v>
      </c>
      <c r="D9" s="43"/>
      <c r="E9" s="101" t="s">
        <v>87</v>
      </c>
      <c r="F9" s="101"/>
      <c r="G9" s="20"/>
      <c r="H9" s="43" t="s">
        <v>12</v>
      </c>
      <c r="I9" s="43"/>
      <c r="J9" s="101" t="s">
        <v>13</v>
      </c>
      <c r="K9" s="101"/>
      <c r="L9" s="2"/>
    </row>
    <row r="10" spans="2:16" ht="39.950000000000003" customHeight="1" x14ac:dyDescent="0.25">
      <c r="B10" s="13"/>
      <c r="C10" s="43" t="s">
        <v>88</v>
      </c>
      <c r="D10" s="43"/>
      <c r="E10" s="101" t="s">
        <v>90</v>
      </c>
      <c r="F10" s="101"/>
      <c r="G10" s="20"/>
      <c r="H10" s="45" t="s">
        <v>105</v>
      </c>
      <c r="I10" s="43"/>
      <c r="J10" s="101" t="s">
        <v>11</v>
      </c>
      <c r="K10" s="101"/>
      <c r="L10" s="2"/>
    </row>
    <row r="11" spans="2:16" ht="39.950000000000003" customHeight="1" thickBot="1" x14ac:dyDescent="0.3">
      <c r="B11" s="13"/>
      <c r="C11" s="17"/>
      <c r="D11" s="17"/>
      <c r="E11" s="106"/>
      <c r="F11" s="106"/>
      <c r="G11" s="20"/>
      <c r="H11" s="17"/>
      <c r="I11" s="17"/>
      <c r="J11" s="105"/>
      <c r="K11" s="105"/>
      <c r="L11" s="2"/>
    </row>
    <row r="12" spans="2:16" ht="30" customHeight="1" thickTop="1" x14ac:dyDescent="0.25">
      <c r="B12" s="14"/>
      <c r="C12" s="9"/>
      <c r="D12" s="10"/>
      <c r="E12" s="10"/>
      <c r="F12" s="90"/>
      <c r="G12" s="8"/>
      <c r="H12" s="9"/>
      <c r="I12" s="9"/>
      <c r="J12" s="10"/>
      <c r="K12" s="10"/>
      <c r="L12" s="8"/>
    </row>
    <row r="13" spans="2:16" ht="30" customHeight="1" x14ac:dyDescent="0.25">
      <c r="B13" s="14"/>
      <c r="C13" s="5" t="s">
        <v>16</v>
      </c>
      <c r="D13" s="5"/>
      <c r="E13" s="3"/>
      <c r="F13" s="89"/>
      <c r="G13" s="8"/>
      <c r="H13" s="5" t="str">
        <f>"Health status ("&amp;SUM(D15:F24)&amp;" of "&amp;85&amp;")"</f>
        <v>Health status (3 of 85)</v>
      </c>
      <c r="I13" s="8"/>
      <c r="J13" s="8"/>
      <c r="K13" s="8"/>
      <c r="L13" s="97"/>
    </row>
    <row r="14" spans="2:16" ht="30" customHeight="1" x14ac:dyDescent="0.25">
      <c r="B14" s="14"/>
      <c r="C14" s="8"/>
      <c r="D14" s="18" t="s">
        <v>18</v>
      </c>
      <c r="E14" s="18" t="s">
        <v>33</v>
      </c>
      <c r="F14" s="91" t="s">
        <v>19</v>
      </c>
      <c r="G14" s="8"/>
      <c r="H14" s="8"/>
      <c r="I14" s="8"/>
      <c r="J14" s="8"/>
      <c r="K14" s="8"/>
      <c r="L14" s="96">
        <f>1-SUM(D15:F24)/85</f>
        <v>0.96470588235294119</v>
      </c>
    </row>
    <row r="15" spans="2:16" ht="30" customHeight="1" x14ac:dyDescent="0.25">
      <c r="B15" s="14"/>
      <c r="C15" s="17" t="s">
        <v>100</v>
      </c>
      <c r="D15" s="6">
        <v>0</v>
      </c>
      <c r="E15" s="6">
        <v>1</v>
      </c>
      <c r="F15" s="92">
        <v>1</v>
      </c>
      <c r="G15" s="8"/>
      <c r="H15" s="8"/>
      <c r="I15" s="8"/>
      <c r="J15" s="8"/>
      <c r="K15" s="8"/>
      <c r="L15" s="8"/>
    </row>
    <row r="16" spans="2:16" ht="30" customHeight="1" x14ac:dyDescent="0.25">
      <c r="B16" s="14"/>
      <c r="C16" s="17" t="s">
        <v>101</v>
      </c>
      <c r="D16" s="6">
        <v>0</v>
      </c>
      <c r="E16" s="6">
        <v>0</v>
      </c>
      <c r="F16" s="92">
        <v>0</v>
      </c>
      <c r="G16" s="8"/>
      <c r="H16" s="8"/>
      <c r="I16" s="8"/>
      <c r="J16" s="8"/>
      <c r="K16" s="8"/>
      <c r="L16" s="8"/>
    </row>
    <row r="17" spans="2:12" ht="30" customHeight="1" x14ac:dyDescent="0.25">
      <c r="B17" s="14"/>
      <c r="C17" s="17" t="s">
        <v>103</v>
      </c>
      <c r="D17" s="6">
        <v>0</v>
      </c>
      <c r="E17" s="6">
        <v>0</v>
      </c>
      <c r="F17" s="92">
        <v>1</v>
      </c>
      <c r="G17" s="8"/>
      <c r="H17" s="8"/>
      <c r="I17" s="8"/>
      <c r="J17" s="8"/>
      <c r="K17" s="8"/>
      <c r="L17" s="8"/>
    </row>
    <row r="18" spans="2:12" ht="30" customHeight="1" x14ac:dyDescent="0.25">
      <c r="B18" s="14"/>
      <c r="C18" s="17" t="s">
        <v>104</v>
      </c>
      <c r="D18" s="6">
        <v>0</v>
      </c>
      <c r="E18" s="6">
        <v>0</v>
      </c>
      <c r="F18" s="92">
        <v>0</v>
      </c>
      <c r="G18" s="8"/>
      <c r="H18" s="8"/>
      <c r="I18" s="8"/>
      <c r="J18" s="8"/>
      <c r="K18" s="8"/>
      <c r="L18" s="8"/>
    </row>
    <row r="19" spans="2:12" ht="30" customHeight="1" x14ac:dyDescent="0.25">
      <c r="B19" s="14"/>
      <c r="C19" s="17" t="s">
        <v>96</v>
      </c>
      <c r="D19" s="6">
        <v>0</v>
      </c>
      <c r="E19" s="6">
        <v>0</v>
      </c>
      <c r="F19" s="92">
        <v>0</v>
      </c>
      <c r="G19" s="8"/>
      <c r="H19" s="8"/>
      <c r="I19" s="5"/>
      <c r="J19" s="8"/>
      <c r="K19" s="8"/>
      <c r="L19" s="8"/>
    </row>
    <row r="20" spans="2:12" ht="30" customHeight="1" x14ac:dyDescent="0.25">
      <c r="B20" s="14"/>
      <c r="C20" s="17" t="s">
        <v>97</v>
      </c>
      <c r="D20" s="6">
        <v>0</v>
      </c>
      <c r="E20" s="6">
        <v>0</v>
      </c>
      <c r="F20" s="92">
        <v>0</v>
      </c>
      <c r="G20" s="8"/>
      <c r="H20" s="8"/>
      <c r="I20" s="8"/>
      <c r="J20" s="8"/>
      <c r="K20" s="8"/>
      <c r="L20" s="8"/>
    </row>
    <row r="21" spans="2:12" ht="30" customHeight="1" x14ac:dyDescent="0.25">
      <c r="B21" s="14"/>
      <c r="C21" s="17" t="s">
        <v>98</v>
      </c>
      <c r="D21" s="6">
        <v>0</v>
      </c>
      <c r="E21" s="6">
        <v>0</v>
      </c>
      <c r="F21" s="92">
        <v>0</v>
      </c>
      <c r="G21" s="8"/>
      <c r="H21" s="8"/>
      <c r="I21" s="8"/>
      <c r="J21" s="8"/>
      <c r="K21" s="8"/>
      <c r="L21" s="8"/>
    </row>
    <row r="22" spans="2:12" ht="30" customHeight="1" x14ac:dyDescent="0.25">
      <c r="B22" s="14"/>
      <c r="C22" s="17" t="s">
        <v>99</v>
      </c>
      <c r="D22" s="6">
        <v>0</v>
      </c>
      <c r="E22" s="6">
        <v>0</v>
      </c>
      <c r="F22" s="92">
        <v>0</v>
      </c>
      <c r="G22" s="4"/>
      <c r="H22" s="8"/>
      <c r="I22" s="8"/>
      <c r="J22" s="8"/>
      <c r="K22" s="8"/>
      <c r="L22" s="8"/>
    </row>
    <row r="23" spans="2:12" ht="30" customHeight="1" x14ac:dyDescent="0.25">
      <c r="B23" s="14"/>
      <c r="C23" s="17" t="s">
        <v>102</v>
      </c>
      <c r="D23" s="6">
        <v>0</v>
      </c>
      <c r="E23" s="6">
        <v>0</v>
      </c>
      <c r="F23" s="92">
        <v>0</v>
      </c>
      <c r="G23" s="4"/>
      <c r="H23" s="8"/>
      <c r="I23" s="8"/>
      <c r="J23" s="8"/>
      <c r="K23" s="8"/>
      <c r="L23" s="8"/>
    </row>
    <row r="24" spans="2:12" ht="30" customHeight="1" x14ac:dyDescent="0.25">
      <c r="B24" s="14"/>
      <c r="C24" s="17" t="s">
        <v>17</v>
      </c>
      <c r="D24" s="6">
        <v>0</v>
      </c>
      <c r="E24" s="6">
        <v>0</v>
      </c>
      <c r="F24" s="92">
        <v>0</v>
      </c>
      <c r="G24" s="4"/>
      <c r="H24" s="8"/>
      <c r="I24" s="8"/>
      <c r="J24" s="8"/>
      <c r="K24" s="8"/>
      <c r="L24" s="8"/>
    </row>
    <row r="25" spans="2:12" ht="30" customHeight="1" thickBot="1" x14ac:dyDescent="0.3">
      <c r="B25" s="14"/>
      <c r="C25" s="12"/>
      <c r="D25" s="7"/>
      <c r="E25" s="7"/>
      <c r="F25" s="93"/>
      <c r="G25" s="4"/>
      <c r="H25" s="8"/>
      <c r="I25" s="8"/>
      <c r="J25" s="8"/>
      <c r="K25" s="8"/>
      <c r="L25" s="8"/>
    </row>
    <row r="26" spans="2:12" ht="30" customHeight="1" thickTop="1" x14ac:dyDescent="0.25">
      <c r="B26" s="14"/>
      <c r="C26" s="9"/>
      <c r="D26" s="10"/>
      <c r="E26" s="10"/>
      <c r="F26" s="90"/>
      <c r="G26" s="4"/>
      <c r="H26" s="8"/>
      <c r="I26" s="8"/>
      <c r="J26" s="8"/>
      <c r="K26" s="8"/>
      <c r="L26" s="8"/>
    </row>
    <row r="27" spans="2:12" ht="35.1" customHeight="1" x14ac:dyDescent="0.25">
      <c r="B27" s="14"/>
      <c r="C27" s="5" t="s">
        <v>21</v>
      </c>
      <c r="D27" s="14"/>
      <c r="E27" s="14"/>
      <c r="F27" s="14"/>
      <c r="G27" s="14"/>
      <c r="H27" s="14"/>
      <c r="I27" s="14"/>
      <c r="J27" s="14"/>
      <c r="K27" s="14"/>
      <c r="L27" s="14"/>
    </row>
    <row r="28" spans="2:12" ht="24.95" customHeight="1" thickBot="1" x14ac:dyDescent="0.3">
      <c r="B28" s="58" t="s">
        <v>22</v>
      </c>
      <c r="C28" s="59" t="s">
        <v>24</v>
      </c>
      <c r="D28" s="60" t="s">
        <v>26</v>
      </c>
      <c r="E28" s="59"/>
      <c r="F28" s="59" t="s">
        <v>27</v>
      </c>
      <c r="G28" s="61" t="s">
        <v>31</v>
      </c>
      <c r="H28" s="62" t="s">
        <v>23</v>
      </c>
      <c r="I28" s="58"/>
      <c r="J28" s="58"/>
      <c r="K28" s="63"/>
      <c r="L28" s="64"/>
    </row>
    <row r="29" spans="2:12" ht="39.950000000000003" customHeight="1" thickTop="1" x14ac:dyDescent="0.25">
      <c r="B29" s="28">
        <v>1</v>
      </c>
      <c r="C29" s="29" t="s">
        <v>20</v>
      </c>
      <c r="D29" s="30" t="s">
        <v>32</v>
      </c>
      <c r="E29" s="31"/>
      <c r="F29" s="32">
        <v>10</v>
      </c>
      <c r="G29" s="50" t="str" cm="1">
        <f t="array" ref="G29">_xlfn.IFS(HealthReport!$F29&gt;=10,"PASS",HealthReport!$F29=8,"轻微",HealthReport!$F29=5,"普通",HealthReport!$F29=0,"重要")</f>
        <v>PASS</v>
      </c>
      <c r="H29" s="107"/>
      <c r="I29" s="107"/>
      <c r="J29" s="107"/>
      <c r="K29" s="107"/>
      <c r="L29" s="54" t="str">
        <f>HYPERLINK("#OS!B5","Detail")</f>
        <v>Detail</v>
      </c>
    </row>
    <row r="30" spans="2:12" ht="39.950000000000003" customHeight="1" x14ac:dyDescent="0.25">
      <c r="B30" s="33">
        <v>2</v>
      </c>
      <c r="C30" s="34" t="s">
        <v>25</v>
      </c>
      <c r="D30" s="35" t="s">
        <v>36</v>
      </c>
      <c r="E30" s="34"/>
      <c r="F30" s="36">
        <v>10</v>
      </c>
      <c r="G30" s="51" t="str" cm="1">
        <f t="array" ref="G30">_xlfn.IFS(HealthReport!$F30&gt;=10,"PASS",HealthReport!$F30=8,"轻微",HealthReport!$F30=5,"普通",HealthReport!$F30=0,"重要")</f>
        <v>PASS</v>
      </c>
      <c r="H30" s="98"/>
      <c r="I30" s="98"/>
      <c r="J30" s="98"/>
      <c r="K30" s="98"/>
      <c r="L30" s="55" t="str">
        <f>HYPERLINK("#OS!B5","Detail")</f>
        <v>Detail</v>
      </c>
    </row>
    <row r="31" spans="2:12" ht="39.950000000000003" customHeight="1" x14ac:dyDescent="0.25">
      <c r="B31" s="28"/>
      <c r="C31" s="31"/>
      <c r="D31" s="37"/>
      <c r="E31" s="31"/>
      <c r="F31" s="32"/>
      <c r="G31" s="50"/>
      <c r="H31" s="99"/>
      <c r="I31" s="99"/>
      <c r="J31" s="99"/>
      <c r="K31" s="99"/>
      <c r="L31" s="54"/>
    </row>
    <row r="32" spans="2:12" ht="39.950000000000003" customHeight="1" x14ac:dyDescent="0.25">
      <c r="B32" s="33"/>
      <c r="C32" s="34"/>
      <c r="D32" s="35"/>
      <c r="E32" s="34"/>
      <c r="F32" s="36"/>
      <c r="G32" s="51"/>
      <c r="H32" s="98"/>
      <c r="I32" s="98"/>
      <c r="J32" s="98"/>
      <c r="K32" s="98"/>
      <c r="L32" s="55"/>
    </row>
    <row r="33" spans="2:12" ht="39.950000000000003" customHeight="1" x14ac:dyDescent="0.25">
      <c r="B33" s="15"/>
      <c r="C33" s="38"/>
      <c r="D33" s="37"/>
      <c r="E33" s="38"/>
      <c r="F33" s="39"/>
      <c r="G33" s="52"/>
      <c r="H33" s="99"/>
      <c r="I33" s="99"/>
      <c r="J33" s="99"/>
      <c r="K33" s="99"/>
      <c r="L33" s="56"/>
    </row>
    <row r="34" spans="2:12" ht="39.950000000000003" customHeight="1" x14ac:dyDescent="0.25">
      <c r="B34" s="94"/>
      <c r="C34" s="53"/>
      <c r="D34" s="53"/>
      <c r="E34" s="53"/>
      <c r="F34" s="94"/>
      <c r="G34" s="53"/>
      <c r="H34" s="98"/>
      <c r="I34" s="98"/>
      <c r="J34" s="98"/>
      <c r="K34" s="98"/>
      <c r="L34" s="57"/>
    </row>
    <row r="35" spans="2:12" ht="39.950000000000003" customHeight="1" x14ac:dyDescent="0.25">
      <c r="B35" s="15"/>
      <c r="C35" s="38"/>
      <c r="D35" s="37"/>
      <c r="E35" s="38"/>
      <c r="F35" s="39"/>
      <c r="G35" s="52"/>
      <c r="H35" s="99"/>
      <c r="I35" s="99"/>
      <c r="J35" s="99"/>
      <c r="K35" s="99"/>
      <c r="L35" s="56"/>
    </row>
    <row r="36" spans="2:12" ht="39.950000000000003" customHeight="1" x14ac:dyDescent="0.25">
      <c r="B36" s="33"/>
      <c r="C36" s="34"/>
      <c r="D36" s="35"/>
      <c r="E36" s="34"/>
      <c r="F36" s="36"/>
      <c r="G36" s="51"/>
      <c r="H36" s="98"/>
      <c r="I36" s="98"/>
      <c r="J36" s="98"/>
      <c r="K36" s="98"/>
      <c r="L36" s="55"/>
    </row>
    <row r="37" spans="2:12" ht="39.950000000000003" customHeight="1" x14ac:dyDescent="0.25">
      <c r="B37" s="15"/>
      <c r="C37" s="38"/>
      <c r="D37" s="37"/>
      <c r="E37" s="38"/>
      <c r="F37" s="39"/>
      <c r="G37" s="52"/>
      <c r="H37" s="99"/>
      <c r="I37" s="99"/>
      <c r="J37" s="99"/>
      <c r="K37" s="99"/>
      <c r="L37" s="56"/>
    </row>
    <row r="38" spans="2:12" ht="39.950000000000003" customHeight="1" x14ac:dyDescent="0.25">
      <c r="B38" s="94"/>
      <c r="C38" s="53"/>
      <c r="D38" s="53"/>
      <c r="E38" s="53"/>
      <c r="F38" s="94"/>
      <c r="G38" s="53"/>
      <c r="H38" s="98"/>
      <c r="I38" s="98"/>
      <c r="J38" s="98"/>
      <c r="K38" s="98"/>
      <c r="L38" s="57"/>
    </row>
    <row r="39" spans="2:12" ht="39.950000000000003" customHeight="1" x14ac:dyDescent="0.25">
      <c r="B39" s="15"/>
      <c r="C39" s="38"/>
      <c r="D39" s="37"/>
      <c r="E39" s="38"/>
      <c r="F39" s="39"/>
      <c r="G39" s="52"/>
      <c r="H39" s="99"/>
      <c r="I39" s="99"/>
      <c r="J39" s="99"/>
      <c r="K39" s="99"/>
      <c r="L39" s="56"/>
    </row>
    <row r="40" spans="2:12" ht="39.950000000000003" customHeight="1" x14ac:dyDescent="0.25">
      <c r="B40" s="33"/>
      <c r="C40" s="34"/>
      <c r="D40" s="35"/>
      <c r="E40" s="34"/>
      <c r="F40" s="36"/>
      <c r="G40" s="51"/>
      <c r="H40" s="98"/>
      <c r="I40" s="98"/>
      <c r="J40" s="98"/>
      <c r="K40" s="98"/>
      <c r="L40" s="55"/>
    </row>
    <row r="41" spans="2:12" ht="39.950000000000003" customHeight="1" x14ac:dyDescent="0.25">
      <c r="B41" s="15"/>
      <c r="C41" s="38"/>
      <c r="D41" s="37"/>
      <c r="E41" s="38"/>
      <c r="F41" s="39"/>
      <c r="G41" s="52"/>
      <c r="H41" s="99"/>
      <c r="I41" s="99"/>
      <c r="J41" s="99"/>
      <c r="K41" s="99"/>
      <c r="L41" s="56"/>
    </row>
    <row r="42" spans="2:12" ht="39.950000000000003" customHeight="1" x14ac:dyDescent="0.25">
      <c r="B42" s="33"/>
      <c r="C42" s="34"/>
      <c r="D42" s="35"/>
      <c r="E42" s="34"/>
      <c r="F42" s="36"/>
      <c r="G42" s="51"/>
      <c r="H42" s="98"/>
      <c r="I42" s="98"/>
      <c r="J42" s="98"/>
      <c r="K42" s="98"/>
      <c r="L42" s="55"/>
    </row>
    <row r="43" spans="2:12" ht="39.950000000000003" customHeight="1" x14ac:dyDescent="0.25">
      <c r="B43" s="15"/>
      <c r="C43" s="38"/>
      <c r="D43" s="37"/>
      <c r="E43" s="38"/>
      <c r="F43" s="39"/>
      <c r="G43" s="52"/>
      <c r="H43" s="99"/>
      <c r="I43" s="99"/>
      <c r="J43" s="99"/>
      <c r="K43" s="99"/>
      <c r="L43" s="56"/>
    </row>
    <row r="44" spans="2:12" ht="39.950000000000003" customHeight="1" x14ac:dyDescent="0.25">
      <c r="B44" s="33"/>
      <c r="C44" s="34"/>
      <c r="D44" s="35"/>
      <c r="E44" s="34"/>
      <c r="F44" s="36"/>
      <c r="G44" s="51"/>
      <c r="H44" s="98"/>
      <c r="I44" s="98"/>
      <c r="J44" s="98"/>
      <c r="K44" s="98"/>
      <c r="L44" s="55"/>
    </row>
    <row r="45" spans="2:12" ht="39.950000000000003" customHeight="1" x14ac:dyDescent="0.25">
      <c r="B45" s="15"/>
      <c r="C45" s="38"/>
      <c r="D45" s="37"/>
      <c r="E45" s="38"/>
      <c r="F45" s="39"/>
      <c r="G45" s="52"/>
      <c r="H45" s="99"/>
      <c r="I45" s="99"/>
      <c r="J45" s="99"/>
      <c r="K45" s="99"/>
      <c r="L45" s="56"/>
    </row>
    <row r="46" spans="2:12" ht="39.950000000000003" customHeight="1" x14ac:dyDescent="0.25">
      <c r="B46" s="94"/>
      <c r="C46" s="53"/>
      <c r="D46" s="53"/>
      <c r="E46" s="53"/>
      <c r="F46" s="94"/>
      <c r="G46" s="53"/>
      <c r="H46" s="98"/>
      <c r="I46" s="98"/>
      <c r="J46" s="98"/>
      <c r="K46" s="98"/>
      <c r="L46" s="57"/>
    </row>
    <row r="47" spans="2:12" ht="39.950000000000003" customHeight="1" x14ac:dyDescent="0.25">
      <c r="B47" s="15"/>
      <c r="C47" s="38"/>
      <c r="D47" s="37"/>
      <c r="E47" s="38"/>
      <c r="F47" s="39"/>
      <c r="G47" s="52"/>
      <c r="H47" s="99"/>
      <c r="I47" s="99"/>
      <c r="J47" s="99"/>
      <c r="K47" s="99"/>
      <c r="L47" s="56"/>
    </row>
    <row r="48" spans="2:12" ht="39.950000000000003" customHeight="1" x14ac:dyDescent="0.25">
      <c r="B48" s="33"/>
      <c r="C48" s="34"/>
      <c r="D48" s="35"/>
      <c r="E48" s="34"/>
      <c r="F48" s="36"/>
      <c r="G48" s="51"/>
      <c r="H48" s="98"/>
      <c r="I48" s="98"/>
      <c r="J48" s="98"/>
      <c r="K48" s="98"/>
      <c r="L48" s="55"/>
    </row>
    <row r="49" spans="2:12" ht="39.950000000000003" customHeight="1" x14ac:dyDescent="0.25">
      <c r="B49" s="15"/>
      <c r="C49" s="38"/>
      <c r="D49" s="37"/>
      <c r="E49" s="38"/>
      <c r="F49" s="39"/>
      <c r="G49" s="52"/>
      <c r="H49" s="99"/>
      <c r="I49" s="99"/>
      <c r="J49" s="99"/>
      <c r="K49" s="99"/>
      <c r="L49" s="56"/>
    </row>
    <row r="50" spans="2:12" ht="39.950000000000003" customHeight="1" x14ac:dyDescent="0.25">
      <c r="B50" s="94"/>
      <c r="C50" s="53"/>
      <c r="D50" s="53"/>
      <c r="E50" s="53"/>
      <c r="F50" s="94"/>
      <c r="G50" s="53"/>
      <c r="H50" s="98"/>
      <c r="I50" s="98"/>
      <c r="J50" s="98"/>
      <c r="K50" s="98"/>
      <c r="L50" s="57"/>
    </row>
    <row r="51" spans="2:12" ht="39.950000000000003" customHeight="1" x14ac:dyDescent="0.25">
      <c r="B51" s="15"/>
      <c r="C51" s="38"/>
      <c r="D51" s="37"/>
      <c r="E51" s="38"/>
      <c r="F51" s="39"/>
      <c r="G51" s="52"/>
      <c r="H51" s="99"/>
      <c r="I51" s="99"/>
      <c r="J51" s="99"/>
      <c r="K51" s="99"/>
      <c r="L51" s="56"/>
    </row>
    <row r="52" spans="2:12" ht="39.950000000000003" customHeight="1" x14ac:dyDescent="0.25">
      <c r="B52" s="33"/>
      <c r="C52" s="34"/>
      <c r="D52" s="35"/>
      <c r="E52" s="34"/>
      <c r="F52" s="36"/>
      <c r="G52" s="51"/>
      <c r="H52" s="98"/>
      <c r="I52" s="98"/>
      <c r="J52" s="98"/>
      <c r="K52" s="98"/>
      <c r="L52" s="55"/>
    </row>
    <row r="53" spans="2:12" ht="39.950000000000003" customHeight="1" x14ac:dyDescent="0.25">
      <c r="B53" s="15"/>
      <c r="C53" s="38"/>
      <c r="D53" s="37"/>
      <c r="E53" s="38"/>
      <c r="F53" s="39"/>
      <c r="G53" s="52"/>
      <c r="H53" s="99"/>
      <c r="I53" s="99"/>
      <c r="J53" s="99"/>
      <c r="K53" s="99"/>
      <c r="L53" s="56"/>
    </row>
    <row r="54" spans="2:12" ht="39.950000000000003" customHeight="1" x14ac:dyDescent="0.25">
      <c r="B54" s="94"/>
      <c r="C54" s="53"/>
      <c r="D54" s="53"/>
      <c r="E54" s="53"/>
      <c r="F54" s="94"/>
      <c r="G54" s="53"/>
      <c r="H54" s="98"/>
      <c r="I54" s="98"/>
      <c r="J54" s="98"/>
      <c r="K54" s="98"/>
      <c r="L54" s="57"/>
    </row>
    <row r="55" spans="2:12" ht="39.950000000000003" customHeight="1" x14ac:dyDescent="0.25">
      <c r="B55" s="15"/>
      <c r="C55" s="38"/>
      <c r="D55" s="37"/>
      <c r="E55" s="38"/>
      <c r="F55" s="39"/>
      <c r="G55" s="52"/>
      <c r="H55" s="99"/>
      <c r="I55" s="99"/>
      <c r="J55" s="99"/>
      <c r="K55" s="99"/>
      <c r="L55" s="56"/>
    </row>
    <row r="56" spans="2:12" ht="39.950000000000003" customHeight="1" x14ac:dyDescent="0.25">
      <c r="B56" s="33"/>
      <c r="C56" s="34"/>
      <c r="D56" s="35"/>
      <c r="E56" s="34"/>
      <c r="F56" s="36"/>
      <c r="G56" s="51"/>
      <c r="H56" s="98"/>
      <c r="I56" s="98"/>
      <c r="J56" s="98"/>
      <c r="K56" s="98"/>
      <c r="L56" s="55"/>
    </row>
    <row r="57" spans="2:12" ht="39.950000000000003" customHeight="1" x14ac:dyDescent="0.25">
      <c r="B57" s="15"/>
      <c r="C57" s="38"/>
      <c r="D57" s="37"/>
      <c r="E57" s="38"/>
      <c r="F57" s="39"/>
      <c r="G57" s="52"/>
      <c r="H57" s="99"/>
      <c r="I57" s="99"/>
      <c r="J57" s="99"/>
      <c r="K57" s="99"/>
      <c r="L57" s="56"/>
    </row>
    <row r="58" spans="2:12" ht="39.950000000000003" customHeight="1" x14ac:dyDescent="0.25">
      <c r="B58" s="94"/>
      <c r="C58" s="53"/>
      <c r="D58" s="53"/>
      <c r="E58" s="53"/>
      <c r="F58" s="94"/>
      <c r="G58" s="53"/>
      <c r="H58" s="98"/>
      <c r="I58" s="98"/>
      <c r="J58" s="98"/>
      <c r="K58" s="98"/>
      <c r="L58" s="57"/>
    </row>
    <row r="59" spans="2:12" ht="39.950000000000003" customHeight="1" x14ac:dyDescent="0.25">
      <c r="B59" s="15"/>
      <c r="C59" s="38"/>
      <c r="D59" s="37"/>
      <c r="E59" s="38"/>
      <c r="F59" s="39"/>
      <c r="G59" s="52"/>
      <c r="H59" s="99"/>
      <c r="I59" s="99"/>
      <c r="J59" s="99"/>
      <c r="K59" s="99"/>
      <c r="L59" s="56"/>
    </row>
    <row r="60" spans="2:12" ht="39.950000000000003" customHeight="1" x14ac:dyDescent="0.25">
      <c r="B60" s="33"/>
      <c r="C60" s="34"/>
      <c r="D60" s="35"/>
      <c r="E60" s="34"/>
      <c r="F60" s="36"/>
      <c r="G60" s="51"/>
      <c r="H60" s="98"/>
      <c r="I60" s="98"/>
      <c r="J60" s="98"/>
      <c r="K60" s="98"/>
      <c r="L60" s="55"/>
    </row>
    <row r="61" spans="2:12" ht="39.950000000000003" customHeight="1" x14ac:dyDescent="0.25">
      <c r="B61" s="15"/>
      <c r="C61" s="38"/>
      <c r="D61" s="37"/>
      <c r="E61" s="38"/>
      <c r="F61" s="39"/>
      <c r="G61" s="52"/>
      <c r="H61" s="99"/>
      <c r="I61" s="99"/>
      <c r="J61" s="99"/>
      <c r="K61" s="99"/>
      <c r="L61" s="56"/>
    </row>
    <row r="62" spans="2:12" ht="39.950000000000003" customHeight="1" x14ac:dyDescent="0.25">
      <c r="B62" s="94"/>
      <c r="C62" s="53"/>
      <c r="D62" s="53"/>
      <c r="E62" s="53"/>
      <c r="F62" s="94"/>
      <c r="G62" s="53"/>
      <c r="H62" s="98"/>
      <c r="I62" s="98"/>
      <c r="J62" s="98"/>
      <c r="K62" s="98"/>
      <c r="L62" s="57"/>
    </row>
    <row r="63" spans="2:12" ht="39.950000000000003" customHeight="1" x14ac:dyDescent="0.25"/>
    <row r="64" spans="2:12" ht="39.950000000000003" customHeight="1" x14ac:dyDescent="0.25"/>
    <row r="65" ht="39.950000000000003" customHeight="1" x14ac:dyDescent="0.25"/>
    <row r="66" ht="39.950000000000003" customHeight="1" x14ac:dyDescent="0.25"/>
    <row r="67" ht="39.950000000000003" customHeight="1" x14ac:dyDescent="0.25"/>
    <row r="68" ht="39.950000000000003" customHeight="1" x14ac:dyDescent="0.25"/>
    <row r="69" ht="39.950000000000003" customHeight="1" x14ac:dyDescent="0.25"/>
    <row r="70" ht="39.950000000000003" customHeight="1" x14ac:dyDescent="0.25"/>
  </sheetData>
  <dataConsolidate/>
  <mergeCells count="50">
    <mergeCell ref="H60:K60"/>
    <mergeCell ref="H61:K61"/>
    <mergeCell ref="H62:K62"/>
    <mergeCell ref="H55:K55"/>
    <mergeCell ref="H56:K56"/>
    <mergeCell ref="H57:K57"/>
    <mergeCell ref="H58:K58"/>
    <mergeCell ref="H59:K59"/>
    <mergeCell ref="H52:K52"/>
    <mergeCell ref="H53:K53"/>
    <mergeCell ref="H54:K54"/>
    <mergeCell ref="H47:K47"/>
    <mergeCell ref="H48:K48"/>
    <mergeCell ref="H49:K49"/>
    <mergeCell ref="H50:K50"/>
    <mergeCell ref="H51:K51"/>
    <mergeCell ref="J11:K11"/>
    <mergeCell ref="H32:K32"/>
    <mergeCell ref="E9:F9"/>
    <mergeCell ref="E10:F10"/>
    <mergeCell ref="E11:F11"/>
    <mergeCell ref="H29:K29"/>
    <mergeCell ref="H30:K30"/>
    <mergeCell ref="H31:K31"/>
    <mergeCell ref="E8:F8"/>
    <mergeCell ref="J8:K8"/>
    <mergeCell ref="J9:K9"/>
    <mergeCell ref="J10:K10"/>
    <mergeCell ref="J4:K4"/>
    <mergeCell ref="J5:K5"/>
    <mergeCell ref="J6:K6"/>
    <mergeCell ref="J7:K7"/>
    <mergeCell ref="E4:F4"/>
    <mergeCell ref="E5:F5"/>
    <mergeCell ref="E6:F6"/>
    <mergeCell ref="E7:F7"/>
    <mergeCell ref="H33:K33"/>
    <mergeCell ref="H35:K35"/>
    <mergeCell ref="H37:K37"/>
    <mergeCell ref="H39:K39"/>
    <mergeCell ref="H41:K41"/>
    <mergeCell ref="H46:K46"/>
    <mergeCell ref="H43:K43"/>
    <mergeCell ref="H45:K45"/>
    <mergeCell ref="H34:K34"/>
    <mergeCell ref="H36:K36"/>
    <mergeCell ref="H38:K38"/>
    <mergeCell ref="H40:K40"/>
    <mergeCell ref="H42:K42"/>
    <mergeCell ref="H44:K44"/>
  </mergeCells>
  <phoneticPr fontId="14" type="noConversion"/>
  <dataValidations xWindow="250" yWindow="706" count="1">
    <dataValidation allowBlank="1" showInputMessage="1" showErrorMessage="1" prompt="Purchasing Progress bar is in cells E5 through H7" sqref="P7" xr:uid="{00000000-0002-0000-0000-000009000000}"/>
  </dataValidations>
  <printOptions horizontalCentered="1"/>
  <pageMargins left="0.7" right="0.7" top="0.75" bottom="0.75" header="0.3" footer="0.3"/>
  <pageSetup scale="58" fitToHeight="0" orientation="portrait" r:id="rId1"/>
  <headerFooter differentFirst="1">
    <oddFooter>Page &amp;P of &amp;N</oddFooter>
  </headerFooter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5A0B404C-F42C-4492-B16D-3985957F87AE}">
            <x14:iconSet iconSet="4Rating" showValue="0" custom="1">
              <x14:cfvo type="percent">
                <xm:f>0</xm:f>
              </x14:cfvo>
              <x14:cfvo type="num">
                <xm:f>5</xm:f>
              </x14:cfvo>
              <x14:cfvo type="num">
                <xm:f>8</xm:f>
              </x14:cfvo>
              <x14:cfvo type="num">
                <xm:f>10</xm:f>
              </x14:cfvo>
              <x14:cfIcon iconSet="3Symbols" iconId="0"/>
              <x14:cfIcon iconSet="3Flags" iconId="0"/>
              <x14:cfIcon iconSet="3Symbols" iconId="1"/>
              <x14:cfIcon iconSet="3Symbols" iconId="2"/>
            </x14:iconSet>
          </x14:cfRule>
          <xm:sqref>F29:F62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AA4F4-B1FA-4569-9A5C-4430E8288027}">
  <dimension ref="A1:AB30"/>
  <sheetViews>
    <sheetView zoomScaleNormal="100"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A11" sqref="A11"/>
    </sheetView>
  </sheetViews>
  <sheetFormatPr defaultRowHeight="15.75" x14ac:dyDescent="0.25"/>
  <cols>
    <col min="1" max="1" width="19.125" style="68" customWidth="1"/>
    <col min="2" max="2" width="7.625" style="85" customWidth="1"/>
    <col min="3" max="4" width="90.625" style="48" customWidth="1"/>
    <col min="5" max="5" width="9" style="26" customWidth="1"/>
    <col min="6" max="28" width="70" style="26" customWidth="1"/>
    <col min="29" max="16384" width="9" style="27"/>
  </cols>
  <sheetData>
    <row r="1" spans="1:28" x14ac:dyDescent="0.25">
      <c r="A1" s="95" t="s">
        <v>108</v>
      </c>
      <c r="B1" s="95" t="s">
        <v>107</v>
      </c>
      <c r="C1" s="95"/>
      <c r="D1" s="95"/>
    </row>
    <row r="2" spans="1:28" s="66" customFormat="1" ht="17.25" x14ac:dyDescent="0.2">
      <c r="A2" s="67" t="s">
        <v>35</v>
      </c>
      <c r="B2" s="80"/>
      <c r="C2" s="71"/>
      <c r="D2" s="49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</row>
    <row r="3" spans="1:28" ht="17.25" x14ac:dyDescent="0.25">
      <c r="A3" s="67" t="s">
        <v>37</v>
      </c>
      <c r="B3" s="81"/>
      <c r="C3" s="74"/>
      <c r="D3" s="75"/>
    </row>
    <row r="4" spans="1:28" ht="17.25" x14ac:dyDescent="0.25">
      <c r="A4" s="67" t="s">
        <v>89</v>
      </c>
      <c r="B4" s="82"/>
      <c r="C4" s="77"/>
      <c r="D4" s="79"/>
    </row>
    <row r="5" spans="1:28" ht="17.25" x14ac:dyDescent="0.25">
      <c r="A5" s="67" t="s">
        <v>40</v>
      </c>
      <c r="B5" s="83"/>
      <c r="C5" s="76"/>
      <c r="D5" s="78"/>
    </row>
    <row r="6" spans="1:28" ht="17.25" x14ac:dyDescent="0.25">
      <c r="A6" s="67" t="s">
        <v>78</v>
      </c>
      <c r="B6" s="82"/>
      <c r="C6" s="77"/>
      <c r="D6" s="79"/>
    </row>
    <row r="7" spans="1:28" ht="17.25" x14ac:dyDescent="0.25">
      <c r="A7" s="67" t="s">
        <v>79</v>
      </c>
      <c r="B7" s="83"/>
      <c r="C7" s="76"/>
      <c r="D7" s="78"/>
      <c r="E7" s="40" t="str">
        <f>HYPERLINK("#HealthReport!B30","Retrun")</f>
        <v>Retrun</v>
      </c>
    </row>
    <row r="8" spans="1:28" ht="17.25" x14ac:dyDescent="0.25">
      <c r="A8" s="67" t="s">
        <v>41</v>
      </c>
      <c r="B8" s="82"/>
      <c r="C8" s="77"/>
      <c r="D8" s="79"/>
    </row>
    <row r="9" spans="1:28" ht="17.25" x14ac:dyDescent="0.25">
      <c r="A9" s="67" t="s">
        <v>88</v>
      </c>
      <c r="B9" s="83"/>
      <c r="C9" s="76"/>
      <c r="D9" s="78"/>
    </row>
    <row r="10" spans="1:28" ht="17.25" x14ac:dyDescent="0.25">
      <c r="A10" s="67" t="s">
        <v>42</v>
      </c>
      <c r="B10" s="82"/>
      <c r="C10" s="77"/>
      <c r="D10" s="79"/>
    </row>
    <row r="11" spans="1:28" ht="17.25" x14ac:dyDescent="0.25">
      <c r="A11" s="67" t="s">
        <v>29</v>
      </c>
      <c r="B11" s="83"/>
      <c r="C11" s="76"/>
      <c r="D11" s="78"/>
    </row>
    <row r="12" spans="1:28" ht="17.25" x14ac:dyDescent="0.25">
      <c r="A12" s="67" t="s">
        <v>43</v>
      </c>
      <c r="B12" s="82"/>
      <c r="C12" s="77"/>
      <c r="D12" s="79"/>
    </row>
    <row r="13" spans="1:28" ht="17.25" x14ac:dyDescent="0.25">
      <c r="A13" s="67" t="s">
        <v>38</v>
      </c>
      <c r="B13" s="83"/>
      <c r="C13" s="76"/>
      <c r="D13" s="78"/>
    </row>
    <row r="14" spans="1:28" ht="17.25" x14ac:dyDescent="0.25">
      <c r="A14" s="67" t="s">
        <v>28</v>
      </c>
      <c r="B14" s="82"/>
      <c r="C14" s="77"/>
      <c r="D14" s="79"/>
    </row>
    <row r="15" spans="1:28" ht="17.25" x14ac:dyDescent="0.25">
      <c r="A15" s="67" t="s">
        <v>44</v>
      </c>
      <c r="B15" s="83"/>
      <c r="C15" s="76"/>
      <c r="D15" s="78"/>
    </row>
    <row r="16" spans="1:28" ht="17.25" x14ac:dyDescent="0.25">
      <c r="A16" s="67" t="s">
        <v>74</v>
      </c>
      <c r="B16" s="82"/>
      <c r="C16" s="77"/>
      <c r="D16" s="79"/>
    </row>
    <row r="17" spans="1:4" ht="17.25" x14ac:dyDescent="0.25">
      <c r="A17" s="67" t="s">
        <v>36</v>
      </c>
      <c r="B17" s="83"/>
      <c r="C17" s="76"/>
      <c r="D17" s="78"/>
    </row>
    <row r="18" spans="1:4" ht="17.25" x14ac:dyDescent="0.25">
      <c r="A18" s="67" t="s">
        <v>46</v>
      </c>
      <c r="B18" s="82"/>
      <c r="C18" s="77"/>
      <c r="D18" s="79"/>
    </row>
    <row r="19" spans="1:4" ht="17.25" x14ac:dyDescent="0.25">
      <c r="A19" s="67" t="s">
        <v>45</v>
      </c>
      <c r="B19" s="83"/>
      <c r="C19" s="76"/>
      <c r="D19" s="78"/>
    </row>
    <row r="20" spans="1:4" ht="17.25" x14ac:dyDescent="0.25">
      <c r="A20" s="67" t="s">
        <v>47</v>
      </c>
      <c r="B20" s="82"/>
      <c r="C20" s="77"/>
      <c r="D20" s="79"/>
    </row>
    <row r="21" spans="1:4" ht="17.25" x14ac:dyDescent="0.25">
      <c r="A21" s="67" t="s">
        <v>48</v>
      </c>
      <c r="B21" s="83"/>
      <c r="C21" s="76"/>
      <c r="D21" s="78"/>
    </row>
    <row r="22" spans="1:4" ht="17.25" x14ac:dyDescent="0.25">
      <c r="A22" s="67" t="s">
        <v>49</v>
      </c>
      <c r="B22" s="82"/>
      <c r="C22" s="77"/>
      <c r="D22" s="79"/>
    </row>
    <row r="23" spans="1:4" ht="17.25" x14ac:dyDescent="0.25">
      <c r="A23" s="67" t="s">
        <v>50</v>
      </c>
      <c r="B23" s="83"/>
      <c r="C23" s="76"/>
      <c r="D23" s="78"/>
    </row>
    <row r="24" spans="1:4" ht="17.25" x14ac:dyDescent="0.25">
      <c r="A24" s="67" t="s">
        <v>80</v>
      </c>
      <c r="B24" s="82"/>
      <c r="C24" s="77"/>
      <c r="D24" s="79"/>
    </row>
    <row r="25" spans="1:4" ht="17.25" x14ac:dyDescent="0.25">
      <c r="A25" s="67" t="s">
        <v>81</v>
      </c>
      <c r="B25" s="83"/>
      <c r="C25" s="76"/>
      <c r="D25" s="78"/>
    </row>
    <row r="26" spans="1:4" ht="17.25" x14ac:dyDescent="0.25">
      <c r="A26" s="67" t="s">
        <v>113</v>
      </c>
      <c r="B26" s="82"/>
      <c r="C26" s="77"/>
      <c r="D26" s="79"/>
    </row>
    <row r="27" spans="1:4" ht="17.25" x14ac:dyDescent="0.25">
      <c r="A27" s="67" t="s">
        <v>112</v>
      </c>
      <c r="B27" s="83"/>
      <c r="C27" s="76"/>
      <c r="D27" s="78"/>
    </row>
    <row r="28" spans="1:4" ht="17.25" x14ac:dyDescent="0.25">
      <c r="A28" s="67" t="s">
        <v>111</v>
      </c>
      <c r="B28" s="82"/>
      <c r="C28" s="77"/>
      <c r="D28" s="79"/>
    </row>
    <row r="29" spans="1:4" ht="17.25" x14ac:dyDescent="0.25">
      <c r="A29" s="67" t="s">
        <v>110</v>
      </c>
      <c r="B29" s="83"/>
      <c r="C29" s="76"/>
      <c r="D29" s="78"/>
    </row>
    <row r="30" spans="1:4" ht="17.25" x14ac:dyDescent="0.25">
      <c r="A30" s="67" t="s">
        <v>109</v>
      </c>
      <c r="B30" s="84"/>
      <c r="C30" s="73"/>
      <c r="D30" s="72"/>
    </row>
  </sheetData>
  <phoneticPr fontId="14" type="noConversion"/>
  <dataValidations count="1">
    <dataValidation allowBlank="1" showInputMessage="1" showErrorMessage="1" prompt="吞吞吐吐他" sqref="B16:C16" xr:uid="{AAAA7C2D-0252-42F0-9FBA-2F1C8A993A03}"/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D97E0F2E-7D04-46E3-B6D0-66B86A3C3DF0}">
            <x14:iconSet iconSet="4Rating" showValue="0" custom="1">
              <x14:cfvo type="percent">
                <xm:f>0</xm:f>
              </x14:cfvo>
              <x14:cfvo type="percent">
                <xm:f>5</xm:f>
              </x14:cfvo>
              <x14:cfvo type="percent">
                <xm:f>8</xm:f>
              </x14:cfvo>
              <x14:cfvo type="num">
                <xm:f>10</xm:f>
              </x14:cfvo>
              <x14:cfIcon iconSet="3Symbols" iconId="0"/>
              <x14:cfIcon iconSet="3Flags" iconId="0"/>
              <x14:cfIcon iconSet="3Symbols" iconId="1"/>
              <x14:cfIcon iconSet="3Symbols" iconId="2"/>
            </x14:iconSet>
          </x14:cfRule>
          <xm:sqref>B2:B30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D7FAC-338D-40AE-9A03-D56E1C0E6070}">
  <dimension ref="A1:AB48"/>
  <sheetViews>
    <sheetView zoomScaleNormal="100" workbookViewId="0">
      <pane xSplit="1" ySplit="2" topLeftCell="B3" activePane="bottomRight" state="frozen"/>
      <selection activeCell="B3" sqref="B3"/>
      <selection pane="topRight" activeCell="B3" sqref="B3"/>
      <selection pane="bottomLeft" activeCell="B3" sqref="B3"/>
      <selection pane="bottomRight" sqref="A1:D1"/>
    </sheetView>
  </sheetViews>
  <sheetFormatPr defaultRowHeight="15.75" x14ac:dyDescent="0.25"/>
  <cols>
    <col min="1" max="1" width="19.25" style="68" bestFit="1" customWidth="1"/>
    <col min="2" max="2" width="7.625" style="86" customWidth="1"/>
    <col min="3" max="4" width="90.625" style="48" customWidth="1"/>
    <col min="5" max="27" width="87.5" style="26" customWidth="1"/>
    <col min="28" max="16384" width="9" style="27"/>
  </cols>
  <sheetData>
    <row r="1" spans="1:28" x14ac:dyDescent="0.25">
      <c r="A1" s="95" t="s">
        <v>108</v>
      </c>
      <c r="B1" s="95" t="s">
        <v>107</v>
      </c>
      <c r="C1" s="95"/>
      <c r="D1" s="95"/>
      <c r="AB1" s="26"/>
    </row>
    <row r="2" spans="1:28" ht="17.25" x14ac:dyDescent="0.25">
      <c r="A2" s="67" t="s">
        <v>51</v>
      </c>
      <c r="B2" s="80"/>
      <c r="C2" s="71"/>
      <c r="D2" s="49"/>
    </row>
    <row r="3" spans="1:28" ht="17.25" x14ac:dyDescent="0.25">
      <c r="A3" s="67" t="s">
        <v>39</v>
      </c>
      <c r="B3" s="81"/>
      <c r="C3" s="74"/>
      <c r="D3" s="75"/>
      <c r="AB3" s="26"/>
    </row>
    <row r="4" spans="1:28" ht="17.25" x14ac:dyDescent="0.25">
      <c r="A4" s="67" t="s">
        <v>54</v>
      </c>
      <c r="B4" s="82"/>
      <c r="C4" s="77"/>
      <c r="D4" s="79"/>
    </row>
    <row r="5" spans="1:28" ht="17.25" x14ac:dyDescent="0.25">
      <c r="A5" s="67" t="s">
        <v>63</v>
      </c>
      <c r="B5" s="83"/>
      <c r="C5" s="76"/>
      <c r="D5" s="78"/>
    </row>
    <row r="6" spans="1:28" ht="17.25" x14ac:dyDescent="0.25">
      <c r="A6" s="67" t="s">
        <v>66</v>
      </c>
      <c r="B6" s="82"/>
      <c r="C6" s="77"/>
      <c r="D6" s="79"/>
    </row>
    <row r="7" spans="1:28" ht="17.25" x14ac:dyDescent="0.25">
      <c r="A7" s="67" t="s">
        <v>55</v>
      </c>
      <c r="B7" s="83"/>
      <c r="C7" s="76"/>
      <c r="D7" s="78"/>
    </row>
    <row r="8" spans="1:28" ht="17.25" x14ac:dyDescent="0.25">
      <c r="A8" s="67" t="s">
        <v>56</v>
      </c>
      <c r="B8" s="82"/>
      <c r="C8" s="77"/>
      <c r="D8" s="79"/>
    </row>
    <row r="9" spans="1:28" ht="17.25" x14ac:dyDescent="0.25">
      <c r="A9" s="67" t="s">
        <v>134</v>
      </c>
      <c r="B9" s="83"/>
      <c r="C9" s="76"/>
      <c r="D9" s="78"/>
    </row>
    <row r="10" spans="1:28" ht="17.25" x14ac:dyDescent="0.25">
      <c r="A10" s="67" t="s">
        <v>92</v>
      </c>
      <c r="B10" s="82"/>
      <c r="C10" s="77"/>
      <c r="D10" s="79"/>
    </row>
    <row r="11" spans="1:28" ht="17.25" x14ac:dyDescent="0.25">
      <c r="A11" s="67" t="s">
        <v>57</v>
      </c>
      <c r="B11" s="83"/>
      <c r="C11" s="76"/>
      <c r="D11" s="78"/>
    </row>
    <row r="12" spans="1:28" ht="17.25" x14ac:dyDescent="0.25">
      <c r="A12" s="67" t="s">
        <v>114</v>
      </c>
      <c r="B12" s="82"/>
      <c r="C12" s="77"/>
      <c r="D12" s="79"/>
    </row>
    <row r="13" spans="1:28" ht="17.25" x14ac:dyDescent="0.25">
      <c r="A13" s="67" t="s">
        <v>133</v>
      </c>
      <c r="B13" s="83"/>
      <c r="C13" s="76"/>
      <c r="D13" s="78"/>
    </row>
    <row r="14" spans="1:28" ht="17.25" x14ac:dyDescent="0.25">
      <c r="A14" s="67" t="s">
        <v>58</v>
      </c>
      <c r="B14" s="82"/>
      <c r="C14" s="77"/>
      <c r="D14" s="79"/>
    </row>
    <row r="15" spans="1:28" ht="17.25" x14ac:dyDescent="0.25">
      <c r="A15" s="67" t="s">
        <v>9</v>
      </c>
      <c r="B15" s="83"/>
      <c r="C15" s="76"/>
      <c r="D15" s="78"/>
    </row>
    <row r="16" spans="1:28" ht="17.25" x14ac:dyDescent="0.25">
      <c r="A16" s="67" t="s">
        <v>30</v>
      </c>
      <c r="B16" s="82"/>
      <c r="C16" s="77"/>
      <c r="D16" s="79"/>
    </row>
    <row r="17" spans="1:4" ht="17.25" x14ac:dyDescent="0.25">
      <c r="A17" s="67" t="s">
        <v>115</v>
      </c>
      <c r="B17" s="83"/>
      <c r="C17" s="76"/>
      <c r="D17" s="78"/>
    </row>
    <row r="18" spans="1:4" ht="17.25" x14ac:dyDescent="0.25">
      <c r="A18" s="67" t="s">
        <v>61</v>
      </c>
      <c r="B18" s="82"/>
      <c r="C18" s="77"/>
      <c r="D18" s="79"/>
    </row>
    <row r="19" spans="1:4" ht="17.25" x14ac:dyDescent="0.25">
      <c r="A19" s="67" t="s">
        <v>60</v>
      </c>
      <c r="B19" s="83"/>
      <c r="C19" s="76"/>
      <c r="D19" s="78"/>
    </row>
    <row r="20" spans="1:4" ht="17.25" x14ac:dyDescent="0.25">
      <c r="A20" s="67" t="s">
        <v>62</v>
      </c>
      <c r="B20" s="82"/>
      <c r="C20" s="77"/>
      <c r="D20" s="79"/>
    </row>
    <row r="21" spans="1:4" ht="17.25" x14ac:dyDescent="0.25">
      <c r="A21" s="67" t="s">
        <v>52</v>
      </c>
      <c r="B21" s="83"/>
      <c r="C21" s="76"/>
      <c r="D21" s="78"/>
    </row>
    <row r="22" spans="1:4" ht="17.25" x14ac:dyDescent="0.25">
      <c r="A22" s="67" t="s">
        <v>53</v>
      </c>
      <c r="B22" s="82"/>
      <c r="C22" s="77"/>
      <c r="D22" s="79"/>
    </row>
    <row r="23" spans="1:4" ht="17.25" x14ac:dyDescent="0.25">
      <c r="A23" s="67" t="s">
        <v>118</v>
      </c>
      <c r="B23" s="83"/>
      <c r="C23" s="76"/>
      <c r="D23" s="78"/>
    </row>
    <row r="24" spans="1:4" ht="17.25" x14ac:dyDescent="0.25">
      <c r="A24" s="67" t="s">
        <v>119</v>
      </c>
      <c r="B24" s="82"/>
      <c r="C24" s="77"/>
      <c r="D24" s="79"/>
    </row>
    <row r="25" spans="1:4" ht="17.25" x14ac:dyDescent="0.25">
      <c r="A25" s="67" t="s">
        <v>116</v>
      </c>
      <c r="B25" s="83"/>
      <c r="C25" s="76"/>
      <c r="D25" s="78"/>
    </row>
    <row r="26" spans="1:4" ht="17.25" x14ac:dyDescent="0.25">
      <c r="A26" s="67" t="s">
        <v>117</v>
      </c>
      <c r="B26" s="82"/>
      <c r="C26" s="77"/>
      <c r="D26" s="79"/>
    </row>
    <row r="27" spans="1:4" ht="17.25" x14ac:dyDescent="0.25">
      <c r="A27" s="67" t="s">
        <v>64</v>
      </c>
      <c r="B27" s="83"/>
      <c r="C27" s="76"/>
      <c r="D27" s="78"/>
    </row>
    <row r="28" spans="1:4" ht="17.25" x14ac:dyDescent="0.25">
      <c r="A28" s="67" t="s">
        <v>65</v>
      </c>
      <c r="B28" s="82"/>
      <c r="C28" s="77"/>
      <c r="D28" s="79"/>
    </row>
    <row r="29" spans="1:4" ht="17.25" x14ac:dyDescent="0.25">
      <c r="A29" s="67" t="s">
        <v>120</v>
      </c>
      <c r="B29" s="83"/>
      <c r="C29" s="76"/>
      <c r="D29" s="78"/>
    </row>
    <row r="30" spans="1:4" ht="17.25" x14ac:dyDescent="0.25">
      <c r="A30" s="67" t="s">
        <v>132</v>
      </c>
      <c r="B30" s="82"/>
      <c r="C30" s="77"/>
      <c r="D30" s="79"/>
    </row>
    <row r="31" spans="1:4" ht="17.25" x14ac:dyDescent="0.25">
      <c r="A31" s="67" t="s">
        <v>121</v>
      </c>
      <c r="B31" s="83"/>
      <c r="C31" s="76"/>
      <c r="D31" s="78"/>
    </row>
    <row r="32" spans="1:4" ht="17.25" x14ac:dyDescent="0.25">
      <c r="A32" s="67" t="s">
        <v>122</v>
      </c>
      <c r="B32" s="82"/>
      <c r="C32" s="77"/>
      <c r="D32" s="79"/>
    </row>
    <row r="33" spans="1:4" ht="17.25" x14ac:dyDescent="0.25">
      <c r="A33" s="67" t="s">
        <v>123</v>
      </c>
      <c r="B33" s="83"/>
      <c r="C33" s="76"/>
      <c r="D33" s="78"/>
    </row>
    <row r="34" spans="1:4" ht="17.25" x14ac:dyDescent="0.25">
      <c r="A34" s="67" t="s">
        <v>124</v>
      </c>
      <c r="B34" s="82"/>
      <c r="C34" s="77"/>
      <c r="D34" s="79"/>
    </row>
    <row r="35" spans="1:4" ht="17.25" x14ac:dyDescent="0.25">
      <c r="A35" s="67" t="s">
        <v>125</v>
      </c>
      <c r="B35" s="83"/>
      <c r="C35" s="76"/>
      <c r="D35" s="78"/>
    </row>
    <row r="36" spans="1:4" ht="17.25" x14ac:dyDescent="0.25">
      <c r="A36" s="67" t="s">
        <v>126</v>
      </c>
      <c r="B36" s="82"/>
      <c r="C36" s="77"/>
      <c r="D36" s="79"/>
    </row>
    <row r="37" spans="1:4" ht="17.25" x14ac:dyDescent="0.25">
      <c r="A37" s="67" t="s">
        <v>127</v>
      </c>
      <c r="B37" s="83"/>
      <c r="C37" s="76"/>
      <c r="D37" s="78"/>
    </row>
    <row r="38" spans="1:4" ht="17.25" x14ac:dyDescent="0.25">
      <c r="A38" s="67" t="s">
        <v>128</v>
      </c>
      <c r="B38" s="82"/>
      <c r="C38" s="77"/>
      <c r="D38" s="79"/>
    </row>
    <row r="39" spans="1:4" ht="17.25" x14ac:dyDescent="0.25">
      <c r="A39" s="67" t="s">
        <v>129</v>
      </c>
      <c r="B39" s="83"/>
      <c r="C39" s="76"/>
      <c r="D39" s="78"/>
    </row>
    <row r="40" spans="1:4" ht="17.25" x14ac:dyDescent="0.25">
      <c r="A40" s="67" t="s">
        <v>93</v>
      </c>
      <c r="B40" s="82"/>
      <c r="C40" s="77"/>
      <c r="D40" s="79"/>
    </row>
    <row r="41" spans="1:4" ht="17.25" x14ac:dyDescent="0.25">
      <c r="A41" s="67" t="s">
        <v>93</v>
      </c>
      <c r="B41" s="83"/>
      <c r="C41" s="76"/>
      <c r="D41" s="78"/>
    </row>
    <row r="42" spans="1:4" ht="17.25" x14ac:dyDescent="0.25">
      <c r="A42" s="67" t="s">
        <v>94</v>
      </c>
      <c r="B42" s="82"/>
      <c r="C42" s="77"/>
      <c r="D42" s="79"/>
    </row>
    <row r="43" spans="1:4" ht="17.25" x14ac:dyDescent="0.25">
      <c r="A43" s="67" t="s">
        <v>130</v>
      </c>
      <c r="B43" s="83"/>
      <c r="C43" s="76"/>
      <c r="D43" s="78"/>
    </row>
    <row r="44" spans="1:4" ht="17.25" x14ac:dyDescent="0.25">
      <c r="A44" s="67" t="s">
        <v>95</v>
      </c>
      <c r="B44" s="82"/>
      <c r="C44" s="77"/>
      <c r="D44" s="79"/>
    </row>
    <row r="45" spans="1:4" ht="17.25" x14ac:dyDescent="0.25">
      <c r="A45" s="67" t="s">
        <v>131</v>
      </c>
      <c r="B45" s="84"/>
      <c r="C45" s="73"/>
      <c r="D45" s="72"/>
    </row>
    <row r="48" spans="1:4" x14ac:dyDescent="0.25">
      <c r="C48" s="70"/>
    </row>
  </sheetData>
  <phoneticPr fontId="14" type="noConversion"/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EAAF7DD6-57C5-427F-BD84-B7CA83805024}">
            <x14:iconSet iconSet="4Rating" showValue="0" custom="1">
              <x14:cfvo type="percent">
                <xm:f>0</xm:f>
              </x14:cfvo>
              <x14:cfvo type="num">
                <xm:f>5</xm:f>
              </x14:cfvo>
              <x14:cfvo type="num">
                <xm:f>8</xm:f>
              </x14:cfvo>
              <x14:cfvo type="num">
                <xm:f>10</xm:f>
              </x14:cfvo>
              <x14:cfIcon iconSet="3Symbols" iconId="0"/>
              <x14:cfIcon iconSet="3Flags" iconId="0"/>
              <x14:cfIcon iconSet="3Symbols" iconId="1"/>
              <x14:cfIcon iconSet="3Symbols" iconId="2"/>
            </x14:iconSet>
          </x14:cfRule>
          <xm:sqref>B2:B45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93CED-92E7-4A64-BF87-00E3B3B76718}">
  <dimension ref="A1:AB20"/>
  <sheetViews>
    <sheetView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C10" sqref="C10"/>
    </sheetView>
  </sheetViews>
  <sheetFormatPr defaultRowHeight="15" x14ac:dyDescent="0.25"/>
  <cols>
    <col min="1" max="1" width="17.25" style="69" customWidth="1"/>
    <col min="2" max="2" width="7.625" style="87" customWidth="1"/>
    <col min="3" max="4" width="102.625" style="47" customWidth="1"/>
  </cols>
  <sheetData>
    <row r="1" spans="1:28" s="27" customFormat="1" ht="15.75" x14ac:dyDescent="0.25">
      <c r="A1" s="95" t="s">
        <v>108</v>
      </c>
      <c r="B1" s="95" t="s">
        <v>107</v>
      </c>
      <c r="C1" s="95"/>
      <c r="D1" s="95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</row>
    <row r="2" spans="1:28" ht="17.25" x14ac:dyDescent="0.25">
      <c r="A2" s="67" t="s">
        <v>68</v>
      </c>
      <c r="B2" s="81"/>
      <c r="C2" s="74"/>
      <c r="D2" s="75"/>
    </row>
    <row r="3" spans="1:28" ht="17.25" x14ac:dyDescent="0.25">
      <c r="A3" s="67" t="s">
        <v>70</v>
      </c>
      <c r="B3" s="82"/>
      <c r="C3" s="77"/>
      <c r="D3" s="79"/>
    </row>
    <row r="4" spans="1:28" ht="17.25" x14ac:dyDescent="0.25">
      <c r="A4" s="67" t="s">
        <v>73</v>
      </c>
      <c r="B4" s="83"/>
      <c r="C4" s="76"/>
      <c r="D4" s="78"/>
    </row>
    <row r="5" spans="1:28" ht="17.25" x14ac:dyDescent="0.25">
      <c r="A5" s="67" t="s">
        <v>76</v>
      </c>
      <c r="B5" s="82"/>
      <c r="C5" s="77"/>
      <c r="D5" s="79"/>
    </row>
    <row r="6" spans="1:28" ht="17.25" x14ac:dyDescent="0.25">
      <c r="A6" s="67" t="s">
        <v>77</v>
      </c>
      <c r="B6" s="83"/>
      <c r="C6" s="76"/>
      <c r="D6" s="78"/>
    </row>
    <row r="7" spans="1:28" ht="17.25" x14ac:dyDescent="0.25">
      <c r="A7" s="67" t="s">
        <v>142</v>
      </c>
      <c r="B7" s="82"/>
      <c r="C7" s="77"/>
      <c r="D7" s="79"/>
    </row>
    <row r="8" spans="1:28" s="27" customFormat="1" ht="17.25" x14ac:dyDescent="0.25">
      <c r="A8" s="67" t="s">
        <v>143</v>
      </c>
      <c r="B8" s="83"/>
      <c r="C8" s="76"/>
      <c r="D8" s="78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8" ht="17.25" x14ac:dyDescent="0.25">
      <c r="A9" s="67" t="s">
        <v>75</v>
      </c>
      <c r="B9" s="82"/>
      <c r="C9" s="77"/>
      <c r="D9" s="79"/>
    </row>
    <row r="10" spans="1:28" ht="17.25" x14ac:dyDescent="0.25">
      <c r="A10" s="67" t="s">
        <v>71</v>
      </c>
      <c r="B10" s="83"/>
      <c r="C10" s="76"/>
      <c r="D10" s="78"/>
    </row>
    <row r="11" spans="1:28" ht="17.25" x14ac:dyDescent="0.25">
      <c r="A11" s="67" t="s">
        <v>69</v>
      </c>
      <c r="B11" s="82"/>
      <c r="C11" s="77"/>
      <c r="D11" s="79"/>
    </row>
    <row r="12" spans="1:28" ht="17.25" x14ac:dyDescent="0.25">
      <c r="A12" s="67" t="s">
        <v>67</v>
      </c>
      <c r="B12" s="83"/>
      <c r="C12" s="76"/>
      <c r="D12" s="78"/>
    </row>
    <row r="13" spans="1:28" ht="17.25" x14ac:dyDescent="0.25">
      <c r="A13" s="67" t="s">
        <v>72</v>
      </c>
      <c r="B13" s="82"/>
      <c r="C13" s="77"/>
      <c r="D13" s="79"/>
    </row>
    <row r="14" spans="1:28" s="27" customFormat="1" ht="17.25" x14ac:dyDescent="0.25">
      <c r="A14" s="67" t="s">
        <v>135</v>
      </c>
      <c r="B14" s="83"/>
      <c r="C14" s="76"/>
      <c r="D14" s="78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8" ht="17.25" x14ac:dyDescent="0.25">
      <c r="A15" s="67" t="s">
        <v>136</v>
      </c>
      <c r="B15" s="82"/>
      <c r="C15" s="77"/>
      <c r="D15" s="79"/>
    </row>
    <row r="16" spans="1:28" s="27" customFormat="1" ht="17.25" x14ac:dyDescent="0.25">
      <c r="A16" s="67" t="s">
        <v>141</v>
      </c>
      <c r="B16" s="83"/>
      <c r="C16" s="76"/>
      <c r="D16" s="78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s="27" customFormat="1" ht="17.25" x14ac:dyDescent="0.25">
      <c r="A17" s="67" t="s">
        <v>137</v>
      </c>
      <c r="B17" s="82"/>
      <c r="C17" s="77"/>
      <c r="D17" s="79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</row>
    <row r="18" spans="1:27" ht="17.25" x14ac:dyDescent="0.25">
      <c r="A18" s="67" t="s">
        <v>138</v>
      </c>
      <c r="B18" s="83"/>
      <c r="C18" s="76"/>
      <c r="D18" s="78"/>
    </row>
    <row r="19" spans="1:27" s="27" customFormat="1" ht="17.25" x14ac:dyDescent="0.25">
      <c r="A19" s="67" t="s">
        <v>139</v>
      </c>
      <c r="B19" s="82"/>
      <c r="C19" s="77"/>
      <c r="D19" s="79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</row>
    <row r="20" spans="1:27" s="27" customFormat="1" ht="17.25" x14ac:dyDescent="0.25">
      <c r="A20" s="67" t="s">
        <v>140</v>
      </c>
      <c r="B20" s="84"/>
      <c r="C20" s="73"/>
      <c r="D20" s="72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</sheetData>
  <phoneticPr fontId="14" type="noConversion"/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95F920C0-AED7-425E-818E-31788AE47CF5}">
            <x14:iconSet iconSet="4Rating" showValue="0" custom="1">
              <x14:cfvo type="percent">
                <xm:f>0</xm:f>
              </x14:cfvo>
              <x14:cfvo type="num">
                <xm:f>5</xm:f>
              </x14:cfvo>
              <x14:cfvo type="num">
                <xm:f>8</xm:f>
              </x14:cfvo>
              <x14:cfvo type="num">
                <xm:f>10</xm:f>
              </x14:cfvo>
              <x14:cfIcon iconSet="3Symbols" iconId="0"/>
              <x14:cfIcon iconSet="3Flags" iconId="0"/>
              <x14:cfIcon iconSet="3Symbols" iconId="1"/>
              <x14:cfIcon iconSet="3Symbols" iconId="2"/>
            </x14:iconSet>
          </x14:cfRule>
          <xm:sqref>B2:B20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Image xmlns="71af3243-3dd4-4a8d-8c0d-dd76da1f02a5">
      <Url xsi:nil="true"/>
      <Description xsi:nil="true"/>
    </Image>
    <Status xmlns="71af3243-3dd4-4a8d-8c0d-dd76da1f02a5">Not started</Status>
    <Background xmlns="71af3243-3dd4-4a8d-8c0d-dd76da1f02a5">false</Background>
    <_ip_UnifiedCompliancePolicyProperties xmlns="http://schemas.microsoft.com/sharepoint/v3" xsi:nil="true"/>
    <ImageTagsTaxHTField xmlns="71af3243-3dd4-4a8d-8c0d-dd76da1f02a5">
      <Terms xmlns="http://schemas.microsoft.com/office/infopath/2007/PartnerControls"/>
    </ImageTagsTaxHTField>
    <TaxCatchAll xmlns="230e9df3-be65-4c73-a93b-d1236ebd677e" xsi:nil="true"/>
    <MediaServiceKeyPoints xmlns="71af3243-3dd4-4a8d-8c0d-dd76da1f02a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F111ED35F8CC479449609E8A0923A6" ma:contentTypeVersion="26" ma:contentTypeDescription="Create a new document." ma:contentTypeScope="" ma:versionID="ac37c1753acd5e330d2062ccec26ea66">
  <xsd:schema xmlns:xsd="http://www.w3.org/2001/XMLSchema" xmlns:xs="http://www.w3.org/2001/XMLSchema" xmlns:p="http://schemas.microsoft.com/office/2006/metadata/properties" xmlns:ns1="http://schemas.microsoft.com/sharepoint/v3" xmlns:ns2="71af3243-3dd4-4a8d-8c0d-dd76da1f02a5" xmlns:ns3="16c05727-aa75-4e4a-9b5f-8a80a1165891" xmlns:ns4="230e9df3-be65-4c73-a93b-d1236ebd677e" targetNamespace="http://schemas.microsoft.com/office/2006/metadata/properties" ma:root="true" ma:fieldsID="3b340c7101c92c5120abd06486f94548" ns1:_="" ns2:_="" ns3:_="" ns4:_="">
    <xsd:import namespace="http://schemas.microsoft.com/sharepoint/v3"/>
    <xsd:import namespace="71af3243-3dd4-4a8d-8c0d-dd76da1f02a5"/>
    <xsd:import namespace="16c05727-aa75-4e4a-9b5f-8a80a1165891"/>
    <xsd:import namespace="230e9df3-be65-4c73-a93b-d1236ebd677e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Image" minOccurs="0"/>
                <xsd:element ref="ns2:MediaServiceMetadata" minOccurs="0"/>
                <xsd:element ref="ns2:MediaServiceFastMetadata" minOccurs="0"/>
                <xsd:element ref="ns2:MediaServiceOCR" minOccurs="0"/>
                <xsd:element ref="ns2:MediaServiceAutoTags" minOccurs="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1:_ip_UnifiedCompliancePolicyProperties" minOccurs="0"/>
                <xsd:element ref="ns1:_ip_UnifiedCompliancePolicyUIAction" minOccurs="0"/>
                <xsd:element ref="ns4:TaxCatchAll" minOccurs="0"/>
                <xsd:element ref="ns2:ImageTagsTaxHTField" minOccurs="0"/>
                <xsd:element ref="ns2:MediaServiceLocation" minOccurs="0"/>
                <xsd:element ref="ns2:MediaLengthInSeconds" minOccurs="0"/>
                <xsd:element ref="ns2:Background" minOccurs="0"/>
                <xsd:element ref="ns2:MediaServiceSearchProperties" minOccurs="0"/>
                <xsd:element ref="ns2:MediaServiceDoc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0" nillable="true" ma:displayName="Unified Compliance Policy Properties" ma:hidden="true" ma:internalName="_ip_UnifiedCompliancePolicyProperties" ma:readOnly="false">
      <xsd:simpleType>
        <xsd:restriction base="dms:Note"/>
      </xsd:simpleType>
    </xsd:element>
    <xsd:element name="_ip_UnifiedCompliancePolicyUIAction" ma:index="21" nillable="true" ma:displayName="Unified Compliance Policy UI Action" ma:hidden="true" ma:internalName="_ip_UnifiedCompliancePolicyUIAction" ma:readOnly="fals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af3243-3dd4-4a8d-8c0d-dd76da1f02a5" elementFormDefault="qualified">
    <xsd:import namespace="http://schemas.microsoft.com/office/2006/documentManagement/types"/>
    <xsd:import namespace="http://schemas.microsoft.com/office/infopath/2007/PartnerControls"/>
    <xsd:element name="Status" ma:index="2" nillable="true" ma:displayName="Status" ma:default="Not started" ma:format="Dropdown" ma:internalName="Status" ma:readOnly="false">
      <xsd:simpleType>
        <xsd:restriction base="dms:Choice">
          <xsd:enumeration value="Not started"/>
          <xsd:enumeration value="In Progress"/>
          <xsd:enumeration value="Completed"/>
        </xsd:restriction>
      </xsd:simpleType>
    </xsd:element>
    <xsd:element name="Image" ma:index="3" nillable="true" ma:displayName="Image" ma:format="Image" ma:internalName="Image" ma:readOnly="fals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MediaServiceOCR" ma:hidden="true" ma:internalName="MediaServiceOCR" ma:readOnly="true">
      <xsd:simpleType>
        <xsd:restriction base="dms:Note"/>
      </xsd:simpleType>
    </xsd:element>
    <xsd:element name="MediaServiceAutoTags" ma:index="11" nillable="true" ma:displayName="MediaServiceAutoTags" ma:hidden="true" ma:internalName="MediaServiceAutoTags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hidden="true" ma:internalName="MediaServiceKeyPoints" ma:readOnly="false">
      <xsd:simpleType>
        <xsd:restriction base="dms:Note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ImageTagsTaxHTField" ma:index="25" nillable="true" ma:taxonomy="true" ma:internalName="ImageTagsTaxHTField" ma:taxonomyFieldName="MediaServiceImageTags" ma:displayName="Image Tags" ma:readOnly="false" ma:fieldId="{5cf76f15-5ced-4ddc-b409-7134ff3c332f}" ma:taxonomyMulti="true" ma:sspId="e385fb40-52d4-4fae-9c5b-3e8ff8a5878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6" nillable="true" ma:displayName="Location" ma:hidden="true" ma:internalName="MediaServiceLocation" ma:readOnly="true">
      <xsd:simpleType>
        <xsd:restriction base="dms:Text"/>
      </xsd:simpleType>
    </xsd:element>
    <xsd:element name="MediaLengthInSeconds" ma:index="27" nillable="true" ma:displayName="MediaLengthInSeconds" ma:hidden="true" ma:internalName="MediaLengthInSeconds" ma:readOnly="true">
      <xsd:simpleType>
        <xsd:restriction base="dms:Unknown"/>
      </xsd:simpleType>
    </xsd:element>
    <xsd:element name="Background" ma:index="28" nillable="true" ma:displayName="Background" ma:default="0" ma:format="Dropdown" ma:internalName="Background">
      <xsd:simpleType>
        <xsd:restriction base="dms:Boolean"/>
      </xsd:simpleType>
    </xsd:element>
    <xsd:element name="MediaServiceSearchProperties" ma:index="2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ocTags" ma:index="30" nillable="true" ma:displayName="MediaServiceDocTags" ma:hidden="true" ma:internalName="MediaServiceDoc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c05727-aa75-4e4a-9b5f-8a80a116589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hidden="true" ma:internalName="SharedWithDetail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0e9df3-be65-4c73-a93b-d1236ebd677e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3f6bfcbc-3db3-4ae6-bd76-326f0798ad28}" ma:internalName="TaxCatchAll" ma:readOnly="false" ma:showField="CatchAllData" ma:web="16c05727-aa75-4e4a-9b5f-8a80a11658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D1BB4A4-C009-44B7-9F89-7FA7A7BF749B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71af3243-3dd4-4a8d-8c0d-dd76da1f02a5"/>
    <ds:schemaRef ds:uri="230e9df3-be65-4c73-a93b-d1236ebd677e"/>
  </ds:schemaRefs>
</ds:datastoreItem>
</file>

<file path=customXml/itemProps2.xml><?xml version="1.0" encoding="utf-8"?>
<ds:datastoreItem xmlns:ds="http://schemas.openxmlformats.org/officeDocument/2006/customXml" ds:itemID="{00D4997A-F5D7-47B8-8021-08C076C5E1C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8E7F3D6-785F-49FE-8501-BF769B99AE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1af3243-3dd4-4a8d-8c0d-dd76da1f02a5"/>
    <ds:schemaRef ds:uri="16c05727-aa75-4e4a-9b5f-8a80a1165891"/>
    <ds:schemaRef ds:uri="230e9df3-be65-4c73-a93b-d1236ebd677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/>
</file>

<file path=docProps/app.xml><?xml version="1.0" encoding="utf-8"?>
<Properties xmlns="http://schemas.openxmlformats.org/officeDocument/2006/extended-properties" xmlns:vt="http://schemas.openxmlformats.org/officeDocument/2006/docPropsVTypes">
  <Template>TM16400501</Templat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4</vt:i4>
      </vt:variant>
      <vt:variant>
        <vt:lpstr>命名范围</vt:lpstr>
      </vt:variant>
      <vt:variant>
        <vt:i4>3</vt:i4>
      </vt:variant>
    </vt:vector>
  </HeadingPairs>
  <TitlesOfParts>
    <vt:vector size="7" baseType="lpstr">
      <vt:lpstr>HealthReport</vt:lpstr>
      <vt:lpstr>OS</vt:lpstr>
      <vt:lpstr>DB</vt:lpstr>
      <vt:lpstr>INST</vt:lpstr>
      <vt:lpstr>ColumnTitle1</vt:lpstr>
      <vt:lpstr>HealthReport!Print_Titles</vt:lpstr>
      <vt:lpstr>RowTitleRegion1..C7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cp:keywords/>
  <cp:lastModifiedBy/>
  <dcterms:created xsi:type="dcterms:W3CDTF">2022-11-10T06:32:34Z</dcterms:created>
  <dcterms:modified xsi:type="dcterms:W3CDTF">2025-09-05T17:28:17Z</dcterms:modified>
  <cp:version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</Properties>
</file>