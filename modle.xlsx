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xr:revisionPtr revIDLastSave="0" documentId="13_ncr:1_{31925184-A028-4A68-B9B3-6674DF3CA2C2}" xr6:coauthVersionLast="47" xr6:coauthVersionMax="47" xr10:uidLastSave="{00000000-0000-0000-0000-000000000000}"/>
  <bookViews>
    <workbookView xWindow="3120" yWindow="3120" windowWidth="22905" windowHeight="12075" xr2:uid="{00000000-000D-0000-FFFF-FFFF00000000}"/>
  </bookViews>
  <sheets>
    <sheet name="HealthReport" sheetId="1" r:id="rId1"/>
    <sheet name="OS" sheetId="5" r:id="rId2"/>
    <sheet name="DB" sheetId="6" r:id="rId3"/>
    <sheet name="Budget breakdown" sheetId="2" r:id="rId4"/>
    <sheet name="To-do list" sheetId="3" r:id="rId5"/>
    <sheet name="Share list" sheetId="4" r:id="rId6"/>
  </sheets>
  <definedNames>
    <definedName name="ChecklistTotal">SUM(#REF!)</definedName>
    <definedName name="ColumnTitle1">HealthReport!$B$27:$L$39</definedName>
    <definedName name="ColumnTitle2">Category[[#Headers],[Category]]</definedName>
    <definedName name="ColumnTitle3">ToDoList[[#Headers],[Done]]</definedName>
    <definedName name="ColumnTitle4" localSheetId="5">ShareList[[#Headers],[Name]]</definedName>
    <definedName name="_xlnm.Print_Titles" localSheetId="0">HealthReport!$26:$26</definedName>
    <definedName name="_xlnm.Print_Titles" localSheetId="5">'Share list'!$2:$2</definedName>
    <definedName name="_xlnm.Print_Titles" localSheetId="4">'To-do list'!$3:$3</definedName>
    <definedName name="RowTitleRegion1..C7">HealthReport!$C$4</definedName>
    <definedName name="SchoolYear">YEAR(TODAY())&amp;" - "&amp;YEAR(TODAY())+1</definedName>
    <definedName name="SumItemsBought">COUNTIF(HealthReport!$L$27:$L$39,"&gt;0")</definedName>
    <definedName name="SumItemsToBuy">COUNTIF(HealthReport!$H$27:$H$39,"&gt;0")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5" l="1"/>
  <c r="L30" i="1"/>
  <c r="L31" i="1"/>
  <c r="L32" i="1"/>
  <c r="L33" i="1"/>
  <c r="L34" i="1"/>
  <c r="L35" i="1"/>
  <c r="L36" i="1"/>
  <c r="L37" i="1"/>
  <c r="L38" i="1"/>
  <c r="L39" i="1"/>
  <c r="G27" i="1" l="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L26" i="1"/>
  <c r="H13" i="1"/>
  <c r="P7" i="1" l="1"/>
  <c r="C6" i="2" l="1"/>
  <c r="C5" i="2"/>
  <c r="C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27" authorId="0" shapeId="0" xr:uid="{9E41461E-B5F3-45AE-9099-A170B522429B}">
      <text>
        <r>
          <rPr>
            <b/>
            <sz val="9"/>
            <color indexed="81"/>
            <rFont val="宋体"/>
            <family val="3"/>
            <charset val="134"/>
          </rPr>
          <t>作者:</t>
        </r>
        <r>
          <rPr>
            <sz val="9"/>
            <color indexed="81"/>
            <rFont val="宋体"/>
            <family val="3"/>
            <charset val="134"/>
          </rPr>
          <t xml:space="preserve">
查看主机负载情况,id为空闲时间百分比,值越高负载越小</t>
        </r>
      </text>
    </comment>
    <comment ref="D28" authorId="0" shapeId="0" xr:uid="{CE8FA50E-BD3B-4973-83DB-480955872E6D}">
      <text>
        <r>
          <rPr>
            <b/>
            <sz val="9"/>
            <color indexed="81"/>
            <rFont val="宋体"/>
            <family val="3"/>
            <charset val="134"/>
          </rPr>
          <t>作者:</t>
        </r>
        <r>
          <rPr>
            <sz val="9"/>
            <color indexed="81"/>
            <rFont val="宋体"/>
            <family val="3"/>
            <charset val="134"/>
          </rPr>
          <t xml:space="preserve">
查看内存是否频繁使用换页SWAP</t>
        </r>
      </text>
    </comment>
    <comment ref="D29" authorId="0" shapeId="0" xr:uid="{BD3948E2-8A4C-436C-A251-46605C2AC180}">
      <text>
        <r>
          <rPr>
            <b/>
            <sz val="9"/>
            <color indexed="81"/>
            <rFont val="宋体"/>
            <family val="3"/>
            <charset val="134"/>
          </rPr>
          <t>作者:</t>
        </r>
        <r>
          <rPr>
            <sz val="9"/>
            <color indexed="81"/>
            <rFont val="宋体"/>
            <family val="3"/>
            <charset val="134"/>
          </rPr>
          <t xml:space="preserve">
查看主机IO及磁盘IO负载情况, 当有磁盘%util 超过85%时说明该磁盘非常繁忙, 需要进一步分析或优化IO负载</t>
        </r>
      </text>
    </comment>
    <comment ref="D30" authorId="0" shapeId="0" xr:uid="{219BEDE6-F20F-41C0-8CEA-3DD317C4798C}">
      <text>
        <r>
          <rPr>
            <b/>
            <sz val="9"/>
            <color indexed="81"/>
            <rFont val="宋体"/>
            <family val="3"/>
            <charset val="134"/>
          </rPr>
          <t>作者:</t>
        </r>
        <r>
          <rPr>
            <sz val="9"/>
            <color indexed="81"/>
            <rFont val="宋体"/>
            <family val="3"/>
            <charset val="134"/>
          </rPr>
          <t xml:space="preserve">
查看文件系统使用率,文件系统使用率小于80%为正常</t>
        </r>
      </text>
    </comment>
    <comment ref="D31" authorId="0" shapeId="0" xr:uid="{6038BBA1-4371-4944-962E-EF8DAAF1E365}">
      <text>
        <r>
          <rPr>
            <b/>
            <sz val="9"/>
            <color indexed="81"/>
            <rFont val="宋体"/>
            <family val="3"/>
            <charset val="134"/>
          </rPr>
          <t>作者:</t>
        </r>
        <r>
          <rPr>
            <sz val="9"/>
            <color indexed="81"/>
            <rFont val="宋体"/>
            <family val="3"/>
            <charset val="134"/>
          </rPr>
          <t xml:space="preserve">
查看文件系统索引资源节点使用率小于80%为正常</t>
        </r>
      </text>
    </comment>
    <comment ref="D32" authorId="0" shapeId="0" xr:uid="{72672DE2-604C-4E12-8D14-22FBCC7B2E8D}">
      <text>
        <r>
          <rPr>
            <b/>
            <sz val="9"/>
            <color indexed="81"/>
            <rFont val="宋体"/>
            <family val="3"/>
            <charset val="134"/>
          </rPr>
          <t>作者:</t>
        </r>
        <r>
          <rPr>
            <sz val="9"/>
            <color indexed="81"/>
            <rFont val="宋体"/>
            <family val="3"/>
            <charset val="134"/>
          </rPr>
          <t xml:space="preserve">
查看主机透明大页配置情况,为提升系统稳定性建议关闭透明在大页</t>
        </r>
      </text>
    </comment>
    <comment ref="D33" authorId="0" shapeId="0" xr:uid="{021971E8-0EF3-4147-A1FE-688FB0860E9A}">
      <text>
        <r>
          <rPr>
            <b/>
            <sz val="9"/>
            <color indexed="81"/>
            <rFont val="宋体"/>
            <family val="3"/>
            <charset val="134"/>
          </rPr>
          <t>作者:</t>
        </r>
        <r>
          <rPr>
            <sz val="9"/>
            <color indexed="81"/>
            <rFont val="宋体"/>
            <family val="3"/>
            <charset val="134"/>
          </rPr>
          <t xml:space="preserve">
查看主机内核参数配置情况</t>
        </r>
      </text>
    </comment>
    <comment ref="D34" authorId="0" shapeId="0" xr:uid="{388B4670-C978-444C-9E73-9808F46CB808}">
      <text>
        <r>
          <rPr>
            <b/>
            <sz val="9"/>
            <color indexed="81"/>
            <rFont val="宋体"/>
            <family val="3"/>
            <charset val="134"/>
          </rPr>
          <t>作者:</t>
        </r>
        <r>
          <rPr>
            <sz val="9"/>
            <color indexed="81"/>
            <rFont val="宋体"/>
            <family val="3"/>
            <charset val="134"/>
          </rPr>
          <t xml:space="preserve">
查看用户主机资源限制配置情况</t>
        </r>
      </text>
    </comment>
    <comment ref="D35" authorId="0" shapeId="0" xr:uid="{C950E487-9BBE-47CD-837E-BFC7232D63DC}">
      <text>
        <r>
          <rPr>
            <b/>
            <sz val="9"/>
            <color indexed="81"/>
            <rFont val="宋体"/>
            <family val="3"/>
            <charset val="134"/>
          </rPr>
          <t>作者:</t>
        </r>
        <r>
          <rPr>
            <sz val="9"/>
            <color indexed="81"/>
            <rFont val="宋体"/>
            <family val="3"/>
            <charset val="134"/>
          </rPr>
          <t xml:space="preserve">
查看主机NUMA状态,NUMA特性会对数据库服务器稳定运行带来非常大的影响,为避免系统性能隐患,建议关闭NUMA</t>
        </r>
      </text>
    </comment>
    <comment ref="D36" authorId="0" shapeId="0" xr:uid="{CAEAB304-D48F-42EF-854C-6ADD0CDE7561}">
      <text>
        <r>
          <rPr>
            <b/>
            <sz val="9"/>
            <color indexed="81"/>
            <rFont val="宋体"/>
            <family val="3"/>
            <charset val="134"/>
          </rPr>
          <t>作者:</t>
        </r>
        <r>
          <rPr>
            <sz val="9"/>
            <color indexed="81"/>
            <rFont val="宋体"/>
            <family val="3"/>
            <charset val="134"/>
          </rPr>
          <t xml:space="preserve">
数据库状态检查主要包括：数据库启动状态,Dataguard保护模式,保护级别,数据库角色等</t>
        </r>
      </text>
    </comment>
    <comment ref="D37" authorId="0" shapeId="0" xr:uid="{25822FDF-1644-4F43-898F-A6C8A5398052}">
      <text>
        <r>
          <rPr>
            <b/>
            <sz val="9"/>
            <color indexed="81"/>
            <rFont val="宋体"/>
            <family val="3"/>
            <charset val="134"/>
          </rPr>
          <t>作者:</t>
        </r>
        <r>
          <rPr>
            <sz val="9"/>
            <color indexed="81"/>
            <rFont val="宋体"/>
            <family val="3"/>
            <charset val="134"/>
          </rPr>
          <t xml:space="preserve">
针对表空间使用率超过80%且剩余空间不足8G,进行预警</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<sst xmlns="http://schemas.openxmlformats.org/spreadsheetml/2006/main" count="211" uniqueCount="182">
  <si>
    <t>Clothes</t>
  </si>
  <si>
    <t>Supplies</t>
  </si>
  <si>
    <t>Complete All Registration Forms</t>
  </si>
  <si>
    <t>Done</t>
  </si>
  <si>
    <t>Task</t>
  </si>
  <si>
    <t>Category</t>
  </si>
  <si>
    <t>Name</t>
  </si>
  <si>
    <t>Email</t>
  </si>
  <si>
    <t>Shared?</t>
  </si>
  <si>
    <t>Yes</t>
  </si>
  <si>
    <t>No</t>
  </si>
  <si>
    <t>Track all the activities you need to get done before school starts.</t>
  </si>
  <si>
    <t>Total cost</t>
  </si>
  <si>
    <t>Budget breakdown</t>
  </si>
  <si>
    <t>Add categories and budget amounts to track against in your shopping list.</t>
  </si>
  <si>
    <t>To-do list</t>
  </si>
  <si>
    <t>Schedule school physical and visual exam if needed</t>
  </si>
  <si>
    <t>Verify all required immunizations</t>
  </si>
  <si>
    <t>Obtain note with dosage instructions for all required medications from physician</t>
  </si>
  <si>
    <t>Review school dress code</t>
  </si>
  <si>
    <t>Obtain a list of school supplies</t>
  </si>
  <si>
    <t>Meet the teacher</t>
  </si>
  <si>
    <t>Determine teacher's preferred communication method (phone, email, written note)</t>
  </si>
  <si>
    <t>Tour the school with your child</t>
  </si>
  <si>
    <t>Help your child memorize your home phone, work phone, and home address</t>
  </si>
  <si>
    <t>Arrange transportation, designate a safe meeting spot, and practice the routine</t>
  </si>
  <si>
    <t>If walking, practice the route to and from school with your child a few times</t>
  </si>
  <si>
    <t>If carpooling, introduce your child to all carpool drivers</t>
  </si>
  <si>
    <t>If riding the bus, determine times and bus stops</t>
  </si>
  <si>
    <t>Arrange for child care/after school care</t>
  </si>
  <si>
    <t>Plan a menu for breakfasts, school snacks, packed lunches, and after-school snacks</t>
  </si>
  <si>
    <t>Determine homework location and schedule</t>
  </si>
  <si>
    <t>Establish a bedtime routine at least two weeks before school starts</t>
  </si>
  <si>
    <t>Prepare a calendar of all school events and activities</t>
  </si>
  <si>
    <t>Nikola Janu</t>
  </si>
  <si>
    <t>Robert Anic</t>
  </si>
  <si>
    <t>Share list</t>
  </si>
  <si>
    <t>Textbooks</t>
  </si>
  <si>
    <t>nikola@example.com</t>
  </si>
  <si>
    <t>robert@example.com</t>
  </si>
  <si>
    <t>Share this list with others so they can contribute. Select Share in the upper right or press ALT and then press “Z” followed by “S”. Save the file to OneDrive and send the link to your friends.</t>
  </si>
  <si>
    <t>x</t>
    <phoneticPr fontId="15" type="noConversion"/>
  </si>
  <si>
    <r>
      <rPr>
        <b/>
        <sz val="36"/>
        <color theme="1"/>
        <rFont val="等线"/>
        <family val="2"/>
        <charset val="134"/>
      </rPr>
      <t>健康检查报告</t>
    </r>
    <phoneticPr fontId="15" type="noConversion"/>
  </si>
  <si>
    <t>Server Info</t>
    <phoneticPr fontId="15" type="noConversion"/>
  </si>
  <si>
    <t>DataBase Info</t>
    <phoneticPr fontId="15" type="noConversion"/>
  </si>
  <si>
    <t>主机名</t>
  </si>
  <si>
    <t>IP地址</t>
  </si>
  <si>
    <t>系统平台</t>
  </si>
  <si>
    <t>操作系统补丁</t>
  </si>
  <si>
    <t>dcs0tdb6</t>
  </si>
  <si>
    <t>10.224.209.155</t>
  </si>
  <si>
    <t>Solaris[tm] OE (64-bit)</t>
  </si>
  <si>
    <t>SunOS. Oracle Solaris 11.4 SPARC</t>
  </si>
  <si>
    <t>CPU核数</t>
  </si>
  <si>
    <t>32</t>
  </si>
  <si>
    <t>CPU频率</t>
  </si>
  <si>
    <t>2800</t>
  </si>
  <si>
    <t>内存</t>
  </si>
  <si>
    <t>260352 Megabytes</t>
  </si>
  <si>
    <t>APC2DB</t>
  </si>
  <si>
    <t>数据库版本</t>
  </si>
  <si>
    <t>数据库架构</t>
  </si>
  <si>
    <t>SINGLE INSTANCE</t>
  </si>
  <si>
    <t>主备库角色</t>
  </si>
  <si>
    <t>是否开启归档</t>
  </si>
  <si>
    <t>ARCHIVELOG</t>
  </si>
  <si>
    <t>数据库总大小GB</t>
  </si>
  <si>
    <t>1513.200  GB</t>
  </si>
  <si>
    <t>数据库表数量</t>
  </si>
  <si>
    <t>3072.000  GB</t>
  </si>
  <si>
    <t>数据库字符集</t>
  </si>
  <si>
    <t>AMERICAN_AMERICA.US7ASCII</t>
  </si>
  <si>
    <t>数据库名</t>
    <phoneticPr fontId="15" type="noConversion"/>
  </si>
  <si>
    <t>Oracle Database 19c Enterprise</t>
    <phoneticPr fontId="15" type="noConversion"/>
  </si>
  <si>
    <t>PRIMARY,MAXIMUM PERFORMANCE</t>
    <phoneticPr fontId="15" type="noConversion"/>
  </si>
  <si>
    <t>Issue summary</t>
    <phoneticPr fontId="15" type="noConversion"/>
  </si>
  <si>
    <t>数据库集群检查</t>
    <phoneticPr fontId="15" type="noConversion"/>
  </si>
  <si>
    <t>数据库实例分析</t>
    <phoneticPr fontId="15" type="noConversion"/>
  </si>
  <si>
    <t>数据库备份检查</t>
    <phoneticPr fontId="15" type="noConversion"/>
  </si>
  <si>
    <t>数据库安全检查</t>
    <phoneticPr fontId="15" type="noConversion"/>
  </si>
  <si>
    <t>软件使用分析</t>
    <phoneticPr fontId="15" type="noConversion"/>
  </si>
  <si>
    <t>其他项检查</t>
    <phoneticPr fontId="15" type="noConversion"/>
  </si>
  <si>
    <t>重要</t>
    <phoneticPr fontId="15" type="noConversion"/>
  </si>
  <si>
    <t>轻微</t>
    <phoneticPr fontId="15" type="noConversion"/>
  </si>
  <si>
    <t>主机系统分析</t>
    <phoneticPr fontId="15" type="noConversion"/>
  </si>
  <si>
    <t>Health  Report</t>
    <phoneticPr fontId="15" type="noConversion"/>
  </si>
  <si>
    <t>Issue list</t>
    <phoneticPr fontId="15" type="noConversion"/>
  </si>
  <si>
    <t>No.</t>
    <phoneticPr fontId="15" type="noConversion"/>
  </si>
  <si>
    <t>问题描述及建议</t>
    <phoneticPr fontId="15" type="noConversion"/>
  </si>
  <si>
    <t>问题类别</t>
    <phoneticPr fontId="15" type="noConversion"/>
  </si>
  <si>
    <t>主机系统分析</t>
  </si>
  <si>
    <t>数据库实例分析</t>
  </si>
  <si>
    <t>其他项检查</t>
  </si>
  <si>
    <t>数据库安全检查</t>
  </si>
  <si>
    <t>数据库备份检查</t>
  </si>
  <si>
    <t>检查项</t>
    <phoneticPr fontId="15" type="noConversion"/>
  </si>
  <si>
    <t>DataGuard检查</t>
    <phoneticPr fontId="15" type="noConversion"/>
  </si>
  <si>
    <t>结果</t>
    <phoneticPr fontId="15" type="noConversion"/>
  </si>
  <si>
    <t>主机系统分析</t>
    <phoneticPr fontId="15" type="noConversion"/>
  </si>
  <si>
    <t>内存使用检查</t>
    <phoneticPr fontId="15" type="noConversion"/>
  </si>
  <si>
    <t>文件系统使用率</t>
  </si>
  <si>
    <t>文件系统使用率</t>
    <phoneticPr fontId="15" type="noConversion"/>
  </si>
  <si>
    <t>索引资源节点使用率</t>
  </si>
  <si>
    <t>索引资源节点使用率</t>
    <phoneticPr fontId="15" type="noConversion"/>
  </si>
  <si>
    <t>主机透明大页检查</t>
    <phoneticPr fontId="15" type="noConversion"/>
  </si>
  <si>
    <t>内核参数</t>
    <phoneticPr fontId="15" type="noConversion"/>
  </si>
  <si>
    <t>资源限制</t>
    <phoneticPr fontId="15" type="noConversion"/>
  </si>
  <si>
    <t>NUMA使用检查</t>
  </si>
  <si>
    <t>数据库状态检查</t>
    <phoneticPr fontId="15" type="noConversion"/>
  </si>
  <si>
    <t>表空间使用率</t>
  </si>
  <si>
    <t>表空间使用率</t>
    <phoneticPr fontId="15" type="noConversion"/>
  </si>
  <si>
    <t>影响</t>
    <phoneticPr fontId="15" type="noConversion"/>
  </si>
  <si>
    <t>CPU负载检查</t>
    <phoneticPr fontId="15" type="noConversion"/>
  </si>
  <si>
    <t>磁盘IO负载检查</t>
    <phoneticPr fontId="15" type="noConversion"/>
  </si>
  <si>
    <t>NUMA使用检查</t>
    <phoneticPr fontId="15" type="noConversion"/>
  </si>
  <si>
    <t>普通</t>
    <phoneticPr fontId="15" type="noConversion"/>
  </si>
  <si>
    <t>主机内核参数</t>
  </si>
  <si>
    <t>*************system parameter*************
set noexec_user_stack=1
set maxfastscan=0x2000
set ssd:ssd_io_time=0x3c
set ssd:ssd_max_throttle=32
set shmsys:shminfo_shmmax=536870912
set shmsys:shminfo_shmmni=256
set semsys:seminfo_semmni=256
set semsys:seminfo_semmsl=4096
set msgsys:msginfo_msgmap=16384
set msgsys:msginfo_msgmax=2097152
set msgsys:msginfo_msgmnb=134217728
set msgsys:msginfo_msgmni=8192
set msgsys:msginfo_msgssz=4096
set msgsys:msginfo_msgtql=131072
set msgsys:msginfo_msgseg=19712
set rlim_fd_max=100
set rlim_fd_cur=65536
set zfs:zfs_arc_max=53687091200
set disable_ism_large_pages=0xF4
set vxfs:vx_maxlink = 65534
set lwp_default_stksize=0xa000
set rpcmod:svc_default_stksize=0xa000
set panic_on_oops=1
*************network parameter (root)*************
57344
57344
*************system parameter*************
set noexec_user_stack=1
set maxfastscan=0x2000
set ssd:ssd_io_time=0x3c
set ssd:ssd_max_throttle=32
set shmsys:shminfo_shmmax=536870912
set shmsys:shminfo_shmmni=256
set semsys:seminfo_semmni=256
set semsys:seminfo_semmsl=4096
set msgsys:msginfo_msgmap=16384
set msgsys:msginfo_msgmax=2097152
set msgsys:msginfo_msgmnb=134217728
set msgsys:msginfo_msgmni=8192
set msgsys:msginfo_msgssz=4096
set msgsys:msginfo_msgtql=131072
set msgsys:msginfo_msgseg=19712
set rlim_fd_max=65536
set rlim_fd_cur=65536
set zfs:zfs_arc_max=53687091200
set disable_ism_large_pages=0xF1
set vxfs:vx_maxlink = 65534
set lwp_default_stksize=0xa000
set rpcmod:svc_default_stksize=0xa000
*************network parameter (root)*************
57344
57344</t>
  </si>
  <si>
    <t>主机资源限制</t>
  </si>
  <si>
    <t/>
  </si>
  <si>
    <t>CPU负载</t>
  </si>
  <si>
    <t>内存使用</t>
  </si>
  <si>
    <t>磁盘IO负载检查</t>
  </si>
  <si>
    <t>透明大页开启检查</t>
  </si>
  <si>
    <t>[always] state never</t>
  </si>
  <si>
    <t>主机大页使用检查</t>
  </si>
  <si>
    <t>NUMA turned off</t>
  </si>
  <si>
    <t>NTP时钟同步检查</t>
  </si>
  <si>
    <t>数据库名称
DB_UNIQUE_NAME</t>
  </si>
  <si>
    <t>TABLESPACE_NAME             MAXEXTEND(GB)        AllOCATED(GB)             USED(GB)         USED_RATE(%)
-------------------- -------------------- -------------------- -------------------- --------------------
APF_TBS                             6.060                 .548                 .509                8.400
APF_TBS_BK                          6.060                 .196                 .034                 .560
AUDIT_TS                            6.350                1.661                1.540               24.260
N_USERS                            12.110                3.615                3.443               28.430
CIM_LOB_DTS                        12.110                7.131               11.760               95.820
N_CIM_128K_DTS                     12.110               11.135               10.304               85.090
N_EAPDEV                           12.110                8.498                8.007               66.120
N_RLTDEV                           12.110                2.834                2.686               22.180
N_MCRDEV                           12.110                 .197                 .000                 .000
N_CIM_100M_ITS                     12.110                3.322                3.029               25.010
N_CIM_128K_ITS                     12.110                7.326                3.364               27.780
MCS_8M_DTS                         24.220                 .785                 .231                 .950
SYSAUX                             29.310                4.287                2.033                6.940
USERS                              32.000                 .164                 .155                 .480
SYSTEM                             32.000                 .820                 .810                2.530
UNDOTBS1                           32.000               24.067                1.597                4.990
N_CIM_1M_DTS                       42.240               35.212               34.155               80.860
N_APCDEV                           54.360               50.843               48.558               89.330
N_CIM_8M_ITS                      102.260               88.848               86.481               84.570
N_CIM_100M_DTS                    272.500              253.950              234.614               86.100
N_CIM_20M_ITS                     354.260              283.651              262.401               74.070
N_CIM_8M_DTS                      383.170              353.876              328.532               85.740
N_CIM_1M_ITS                      415.350              368.183              336.640               81.050</t>
  </si>
  <si>
    <t>数据文件大小检查</t>
  </si>
  <si>
    <t>FILE_NAME                                                              STATUS                   CUR_GB AUT               MAX_GB
---------------------------------------------------------------------- ---------- -------------------- --- --------------------
/apc2db_db/db_11g/APF_TBS01.dbf                                        AVAILABLE                  .550 YES                6.060
/apc2db_db/db_11g/APF_TBS_BK01.dbf                                     AVAILABLE                  .200 YES                6.060
/apc2db_db/db_11g/AUDIT_TS_01.dbf                                      AVAILABLE                 1.660 YES                6.350
/apc2db_db/db_11g/CIM_LOB_DTS_01.dbf                                   AVAILABLE                 3.910 YES                6.060
/apc2db_db/db_11g/CIM_LOB_DTS_02.dbf                                   AVAILABLE                 3.220 YES                6.060
/apc2db_db/db_11g/MCS_8M_DTS_01.dbf                                    AVAILABLE                  .200 YES                6.060
/apc2db_db/db_11g/MCS_8M_DTS_02.dbf                                    AVAILABLE                  .200 YES                6.060
/apc2db_db/db_11g/MCS_8M_DTS_03.dbf                                    AVAILABLE                  .200 YES                6.060
/apc2db_db/db_11g/MCS_8M_DTS_04.dbf                                    AVAILABLE                  .200 YES                6.060
/apc2db_db/db_11g/N_APCDEV01.dbf                                       AVAILABLE                 6.060 YES                6.060
/apc2db_db/db_11g/N_APCDEV02.dbf                                       AVAILABLE                 6.060 YES                6.060
/apc2db_db/db_11g/N_APCDEV03.dbf                                       AVAILABLE                 6.060 YES                6.060
/apc2db_db/db_11g/N_APCDEV04.dbf                                       AVAILABLE                 6.060 YES                6.060
/apc2db_db/db_11g/N_APCDEV05.dbf                                       AVAILABLE                 6.060 YES                6.060
/apc2db_db/db_11g/N_APCDEV06.dbf                                       AVAILABLE                 6.060 YES                6.060
/apc2db_db/db_11g/N_APCDEV07.dbf                                       AVAILABLE                 6.060 YES                6.060
/apc2db_db/db_11g/N_APCDEV08.dbf                                       AVAILABLE                 5.810 YES                5.910
/apc2db_db/db_11g/N_APCDEV09.dbf                                       AVAILABLE                 2.640 YES                6.060
/apc2db_db/db_11g/N_CIM_100M_DTS_01.dbf                                AVAILABLE                 6.060 YES                6.060
/apc2db_db/db_11g/N_CIM_100M_DTS_02.dbf                                AVAILABLE                 6.060 YES                6.060
/apc2db_db/db_11g/N_CIM_100M_DTS_03.dbf                                AVAILABLE                 6.060 YES                6.060
/apc2db_db/db_11g/N_CIM_100M_DTS_04.dbf                                AVAILABLE                 6.060 YES                6.060
/apc2db_db/db_11g/N_CIM_100M_DTS_05.dbf                                AVAILABLE                 6.060 YES                6.060
/apc2db_db/db_11g/N_CIM_100M_DTS_06.dbf                                AVAILABLE                 6.060 YES                6.060
/apc2db_db/db_11g/N_CIM_100M_DTS_07.dbf                                AVAILABLE                 6.060 YES                6.060
/apc2db_db/db_11g/N_CIM_100M_DTS_08.dbf                                AVAILABLE                 6.060 YES                6.060
/apc2db_db/db_11g/N_CIM_100M_DTS_09.dbf                                AVAILABLE                 6.060 YES                6.060
/apc2db_db/db_11g/N_CIM_100M_DTS_10.dbf                                AVAILABLE                 6.060 YES                6.060
/apc2db_db/db_11g/N_CIM_100M_DTS_11.dbf                                AVAILABLE                 6.060 YES                6.060
/apc2db_db/db_11g/N_CIM_100M_DTS_12.dbf                                AVAILABLE                 6.060 YES                6.060
/apc2db_db/db_11g/N_CIM_100M_DTS_13.dbf                                AVAILABLE                 6.060 YES                6.060
/apc2db_db/db_11g/N_CIM_100M_DTS_14.dbf                                AVAILABLE                 6.060 YES                6.060
/apc2db_db/db_11g/N_CIM_100M_DTS_15.dbf                                AVAILABLE                 6.060 YES                6.060
/apc2db_db/db_11g/N_CIM_100M_DTS_16.dbf                                AVAILABLE                 6.060 YES                6.060
/apc2db_db/db_11g/N_CIM_100M_DTS_17.dbf                                AVAILABLE                 6.060 YES                6.060
/apc2db_db/db_11g/N_CIM_100M_DTS_18.dbf                                AVAILABLE                 6.060 YES                6.060
/apc2db_db/db_11g/N_CIM_100M_DTS_19.dbf                                AVAILABLE                 6.060 YES                6.060
/apc2db_db/db_11g/N_CIM_100M_DTS_20.dbf                                AVAILABLE                 6.060 YES                6.060
/apc2db_db/db_11g/N_CIM_100M_DTS_21.dbf                                AVAILABLE                 6.060 YES                6.060
/apc2db_db/db_11g/N_CIM_100M_DTS_22.dbf                                AVAILABLE                 6.060 YES                6.060
/apc2db_db/db_11g/N_CIM_100M_DTS_23.dbf                                AVAILABLE                 6.060 YES                6.060
/apc2db_db/db_11g/N_CIM_100M_DTS_24.dbf                                AVAILABLE                 6.060 YES                6.060
/apc2db_db/db_11g/N_CIM_100M_DTS_25.dbf                                AVAILABLE                 6.060 YES                6.060
/apc2db_db/db_11g/N_CIM_100M_DTS_26.dbf                                AVAILABLE                 6.060 YES                6.060
/apc2db_db/db_11g/N_CIM_100M_DTS_27.dbf                                AVAILABLE                 6.060 YES                6.060
/apc2db_db/db_11g/N_CIM_100M_DTS_28.dbf                                AVAILABLE                 6.060 YES                6.060
/apc2db_db/db_11g/N_CIM_100M_DTS_29.dbf                                AVAILABLE                 6.060 YES                6.060
/apc2db_db/db_11g/N_CIM_100M_DTS_30.dbf                                AVAILABLE                 6.060 YES                6.060
/apc2db_db/db_11g/N_CIM_100M_DTS_31.dbf                                AVAILABLE                 6.060 YES                6.060
/apc2db_db/db_11g/N_CIM_100M_DTS_32.dbf                                AVAILABLE                 6.060 YES                6.060
/apc2db_db/db_11g/N_CIM_100M_DTS_33.dbf                                AVAILABLE                 6.060 YES                6.060
/apc2db_db/db_11g/N_CIM_100M_DTS_34.dbf                                AVAILABLE                 6.060 YES                6.060
/apc2db_db/db_11g/N_CIM_100M_DTS_35.dbf                                AVAILABLE                 6.060 YES                6.060
/apc2db_db/db_11g/N_CIM_100M_DTS_36.dbf                                AVAILABLE                 6.060 YES                6.060
/apc2db_db/db_11g/N_CIM_100M_DTS_37.dbf                                AVAILABLE                 6.060 YES                6.060
/apc2db_db/db_11g/N_CIM_100M_DTS_38.dbf                                AVAILABLE                 6.060 YES                6.060
/apc2db_db/db_11g/N_CIM_100M_DTS_39.dbf                                AVAILABLE                 6.060 YES                6.060
/apc2db_db/db_11g/N_CIM_100M_DTS_40.dbf                                AVAILABLE                 4.590 YES                6.060
/apc2db_db/db_11g/N_CIM_100M_DTS_41.dbf                                AVAILABLE                 4.590 YES                6.060
/apc2db_db/db_11g/N_CIM_100M_DTS_42.dbf                                AVAILABLE                 2.930 YES                6.060
/apc2db_db/db_11g/N_CIM_100M_DTS_43.dbf                                AVAILABLE                 2.930 YES                6.060
/apc2db_db/db_11g/N_CIM_100M_DTS_44.dbf                                AVAILABLE                 1.370 YES                6.060
/apc2db_db/db_11g/N_CIM_100M_DTS_45.dbf                                AVAILABLE                 1.370 YES                6.060
/apc2db_db/db_11g/N_CIM_100M_ITS_01.dbf                                AVAILABLE                 2.540 YES                6.060
/apc2db_db/db_11g/N_CIM_100M_ITS_02.dbf                                AVAILABLE                  .780 YES                6.060
/apc2db_db/db_11g/N_CIM_128K_DTS_01.dbf                                AVAILABLE                 5.760 YES                6.060
/apc2db_db/db_11g/N_CIM_128K_DTS_02.dbf                                AVAILABLE                 5.370 YES                6.060
/apc2db_db/db_11g/N_CIM_128K_ITS_01.dbf                                AVAILABLE                 3.810 YES                6.060
/apc2db_db/db_11g/N_CIM_128K_ITS_02.dbf                                AVAILABLE                 3.520 YES                6.060
/apc2db_db/db_11g/N_CIM_1M_DTS_01.dbf                                  AVAILABLE                 6.060 YES                6.060
/apc2db_db/db_11g/N_CIM_1M_DTS_02.dbf                                  AVAILABLE                 6.060 YES                6.060
/apc2db_db/db_11g/N_CIM_1M_DTS_03.dbf                                  AVAILABLE                 5.910 YES                5.910
/apc2db_db/db_11g/N_CIM_1M_DTS_04.dbf                                  AVAILABLE                 6.060 YES                6.060
/apc2db_db/db_11g/N_CIM_1M_DTS_05.dbf                                  AVAILABLE                 6.060 YES                6.060
/apc2db_db/db_11g/N_CIM_1M_DTS_06.dbf                                  AVAILABLE                 4.490 YES                6.060
/apc2db_db/db_11g/N_CIM_1M_DTS_07.dbf                                  AVAILABLE                  .590 YES                6.060
/apc2db_db/db_11g/N_CIM_1M_ITS_01.dbf                                  AVAILABLE                 6.060 YES                6.060
/apc2db_db/db_11g/N_CIM_1M_ITS_02.dbf                                  AVAILABLE                 6.060 YES                6.060
/apc2db_db/db_11g/N_CIM_1M_ITS_03.dbf                                  AVAILABLE                 6.060 YES                6.060
/apc2db_db/db_11g/N_CIM_1M_ITS_04.dbf                                  AVAILABLE                 6.060 YES                6.060
/apc2db_db/db_11g/N_CIM_1M_ITS_05.dbf                                  AVAILABLE                 6.060 YES                6.060
/apc2db_db/db_11g/N_CIM_1M_ITS_06.dbf                                  AVAILABLE                 6.060 YES                6.060
/apc2db_db/db_11g/N_CIM_1M_ITS_07.dbf                                  AVAILABLE                 6.060 YES                6.060
/apc2db_db/db_11g/N_CIM_1M_ITS_08.dbf                                  AVAILABLE                 6.060 YES                6.060
/apc2db_db/db_11g/N_CIM_1M_ITS_09.dbf                                  AVAILABLE                 6.060 YES                6.060
/apc2db_db/db_11g/N_CIM_1M_ITS_10.dbf                                  AVAILABLE                 6.060 YES                6.060
/apc2db_db/db_11g/N_CIM_1M_ITS_11.dbf                                  AVAILABLE                 6.060 YES                6.060
/apc2db_db/db_11g/N_CIM_1M_ITS_12.dbf                                  AVAILABLE                 6.060 YES                6.060
/apc2db_db/db_11g/N_CIM_1M_ITS_13.dbf                                  AVAILABLE                 6.060 YES                6.060
/apc2db_db/db_11g/N_CIM_1M_ITS_14.dbf                                  AVAILABLE                 6.060 YES                6.060
/apc2db_db/db_11g/N_CIM_1M_ITS_15.dbf                                  AVAILABLE                 6.060 YES                6.060
/apc2db_db/db_11g/N_CIM_1M_ITS_16.dbf                                  AVAILABLE                 6.060 YES                6.060
/apc2db_db/db_11g/N_CIM_1M_ITS_17.dbf                                  AVAILABLE                 6.060 YES                6.060
/apc2db_db/db_11g/N_CIM_1M_ITS_18.dbf                                  AVAILABLE                 6.060 YES                6.060
/apc2db_db/db_11g/N_CIM_1M_ITS_19.dbf                                  AVAILABLE                 6.060 YES                6.060
/apc2db_db/db_11g/N_CIM_1M_ITS_20.dbf                                  AVAILABLE                 6.060 YES                6.060
/apc2db_db/db_11g/N_CIM_1M_ITS_21.dbf                                  AVAILABLE                 6.060 YES                6.060
/apc2db_db/db_11g/N_CIM_1M_ITS_22.dbf                                  AVAILABLE                 6.060 YES                6.060
/apc2db_db/db_11g/N_CIM_1M_ITS_23.dbf                                  AVAILABLE                 6.060 YES                6.060
/apc2db_db/db_11g/N_CIM_1M_ITS_24.dbf                                  AVAILABLE                 6.060 YES                6.060
/apc2db_db/db_11g/N_CIM_1M_ITS_25.dbf                                  AVAILABLE                 6.060 YES                6.060
/apc2db_db/db_11g/N_CIM_1M_ITS_26.dbf                                  AVAILABLE                 6.060 YES                6.060
/apc2db_db/db_11g/N_CIM_1M_ITS_27.dbf                                  AVAILABLE                 6.060 YES                6.060
/apc2db_db/db_11g/N_CIM_1M_ITS_28.dbf                                  AVAILABLE                 6.060 YES                6.060
/apc2db_db/db_11g/N_CIM_1M_ITS_29.dbf                                  AVAILABLE                 6.060 YES                6.060
/apc2db_db/db_11g/N_CIM_1M_ITS_30.dbf                                  AVAILABLE                 6.060 YES                6.060
/apc2db_db/db_11g/N_CIM_1M_ITS_31.dbf                                  AVAILABLE                 6.060 YES                6.060
/apc2db_db/db_11g/N_CIM_1M_ITS_32.dbf                                  AVAILABLE                 6.060 YES                6.060
/apc2db_db/db_11g/N_CIM_1M_ITS_33.dbf                                  AVAILABLE                 6.060 YES                6.060
/apc2db_db/db_11g/N_CIM_1M_ITS_34.dbf                                  AVAILABLE                 6.060 YES                6.060
/apc2db_db/db_11g/N_CIM_1M_ITS_35.dbf                                  AVAILABLE                 6.060 YES                6.060
/apc2db_db/db_11g/N_CIM_1M_ITS_36.dbf                                  AVAILABLE                 6.060 YES                6.060
/apc2db_db/db_11g/N_CIM_1M_ITS_37.dbf                                  AVAILABLE                 6.060 YES                6.060
/apc2db_db/db_11g/N_CIM_1M_ITS_38.dbf                                  AVAILABLE                 6.060 YES                6.060
/apc2db_db/db_11g/N_CIM_1M_ITS_39.dbf                                  AVAILABLE                 6.060 YES                6.060
/apc2db_db/db_11g/N_CIM_1M_ITS_40.dbf                                  AVAILABLE                 5.910 YES                5.910
/apc2db_db/db_11g/N_CIM_1M_ITS_41.dbf                                  AVAILABLE                 5.910 YES                5.910
/apc2db_db/db_11g/N_CIM_1M_ITS_42.dbf                                  AVAILABLE                 5.910 YES                5.910
/apc2db_db/db_11g/N_CIM_1M_ITS_43.dbf                                  AVAILABLE                 6.060 YES                6.060
/apc2db_db/db_11g/N_CIM_1M_ITS_44.dbf                                  AVAILABLE                 6.060 YES                6.060
/apc2db_db/db_11g/N_CIM_1M_ITS_45.dbf                                  AVAILABLE                 5.910 YES                5.910
/apc2db_db/db_11g/N_CIM_1M_ITS_46.dbf                                  AVAILABLE                 5.910 YES                5.910
/apc2db_db/db_11g/N_CIM_1M_ITS_47.dbf                                  AVAILABLE                 6.060 YES                6.060
/apc2db_db/db_11g/N_CIM_1M_ITS_48.dbf                                  AVAILABLE                 6.060 YES                6.060
/apc2db_db/db_11g/N_CIM_1M_ITS_49.dbf                                  AVAILABLE                 6.060 YES                6.060
/apc2db_db/db_11g/N_CIM_1M_ITS_50.dbf                                  AVAILABLE                 6.060 YES                6.060
/apc2db_db/db_11g/N_CIM_1M_ITS_51.dbf                                  AVAILABLE                 5.910 YES                5.910
/apc2db_db/db_11g/N_CIM_1M_ITS_52.dbf                                  AVAILABLE                 5.910 YES                5.910
/apc2db_db/db_11g/N_CIM_1M_ITS_53.dbf                                  AVAILABLE                 5.910 YES                5.910
/apc2db_db/db_11g/N_CIM_1M_ITS_54.dbf                                  AVAILABLE                 5.910 YES                5.910
/apc2db_db/db_11g/N_CIM_1M_ITS_55.dbf                                  AVAILABLE                 5.910 YES                5.910
/apc2db_db/db_11g/N_CIM_1M_ITS_56.dbf                                  AVAILABLE                 5.910 YES                5.910
/apc2db_db/db_11g/N_CIM_1M_ITS_57.dbf                                  AVAILABLE                 5.420 YES                5.910
/apc2db_db/db_11g/N_CIM_1M_ITS_58.dbf                                  AVAILABLE                 5.420 YES                5.910
/apc2db_db/db_11g/N_CIM_1M_ITS_59.dbf                                  AVAILABLE                 3.570 YES                5.910
/apc2db_db/db_11g/N_CIM_1M_ITS_60.dbf                                  AVAILABLE                 3.470 YES                5.910
/apc2db_db/db_11g/N_CIM_1M_ITS_61.dbf                                  AVAILABLE                 1.320 YES                5.910
/apc2db_db/db_11g/N_CIM_1M_ITS_62.dbf                                  AVAILABLE                 1.320 YES                5.910
/apc2db_db/db_11g/N_CIM_1M_ITS_63.dbf                                  AVAILABLE                 1.470 YES                6.060
/apc2db_db/db_11g/N_CIM_1M_ITS_64.dbf                                  AVAILABLE                 1.470 YES                6.060
/apc2db_db/db_11g/N_CIM_1M_ITS_65.dbf                                  AVAILABLE                 1.470 YES                6.060
/apc2db_db/db_11g/N_CIM_1M_ITS_66.dbf                                  AVAILABLE                 1.470 YES                6.060
/apc2db_db/db_11g/N_CIM_1M_ITS_67.dbf                                  AVAILABLE                 1.470 YES                6.060
/apc2db_db/db_11g/N_CIM_1M_ITS_68.dbf                                  AVAILABLE                 1.470 YES                6.060
/apc2db_db/db_11g/N_CIM_1M_ITS_69.dbf                                  AVAILABLE                 1.370 YES                6.060
/apc2db_db/db_11g/N_CIM_20M_ITS_01.dbf                                 AVAILABLE                 6.060 YES                6.060
/apc2db_db/db_11g/N_CIM_20M_ITS_02.dbf                                 AVAILABLE                 6.060 YES                6.060
/apc2db_db/db_11g/N_CIM_20M_ITS_03.dbf                                 AVAILABLE                 6.060 YES                6.060
/apc2db_db/db_11g/N_CIM_20M_ITS_04.dbf                                 AVAILABLE                 6.060 YES                6.060
/apc2db_db/db_11g/N_CIM_20M_ITS_05.dbf                                 AVAILABLE                 6.060 YES                6.060
/apc2db_db/db_11g/N_CIM_20M_ITS_06.dbf                                 AVAILABLE                 6.060 YES                6.060
/apc2db_db/db_11g/N_CIM_20M_ITS_07.dbf                                 AVAILABLE                 6.060 YES                6.060
/apc2db_db/db_11g/N_CIM_20M_ITS_08.dbf                                 AVAILABLE                 6.060 YES                6.060
/apc2db_db/db_11g/N_CIM_20M_ITS_09.dbf                                 AVAILABLE                 6.060 YES                6.060
/apc2db_db/db_11g/N_CIM_20M_ITS_10.dbf                                 AVAILABLE                 6.060 YES                6.060
/apc2db_db/db_11g/N_CIM_20M_ITS_11.dbf                                 AVAILABLE                 6.060 YES                6.060
/apc2db_db/db_11g/N_CIM_20M_ITS_12.dbf                                 AVAILABLE                 6.060 YES                6.060
/apc2db_db/db_11g/N_CIM_20M_ITS_13.dbf                                 AVAILABLE                 6.060 YES                6.060
/apc2db_db/db_11g/N_CIM_20M_ITS_14.dbf                                 AVAILABLE                 6.060 YES                6.060
/apc2db_db/db_11g/N_CIM_20M_ITS_15.dbf                                 AVAILABLE                 6.060 YES                6.060
/apc2db_db/db_11g/N_CIM_20M_ITS_16.dbf                                 AVAILABLE                 6.060 YES                6.060
/apc2db_db/db_11g/N_CIM_20M_ITS_17.dbf                                 AVAILABLE                 6.060 YES                6.060
/apc2db_db/db_11g/N_CIM_20M_ITS_18.dbf                                 AVAILABLE                 6.060 YES                6.060
/apc2db_db/db_11g/N_CIM_20M_ITS_19.dbf                                 AVAILABLE                 6.060 YES                6.060
/apc2db_db/db_11g/N_CIM_20M_ITS_20.dbf                                 AVAILABLE                 6.060 YES                6.060
/apc2db_db/db_11g/N_CIM_20M_ITS_21.dbf                                 AVAILABLE                 6.060 YES                6.060
/apc2db_db/db_11g/N_CIM_20M_ITS_22.dbf                                 AVAILABLE                 6.060 YES                6.060
/apc2db_db/db_11g/N_CIM_20M_ITS_23.dbf                                 AVAILABLE                 6.060 YES                6.060
/apc2db_db/db_11g/N_CIM_20M_ITS_24.dbf                                 AVAILABLE                 6.060 YES                6.060
/apc2db_db/db_11g/N_CIM_20M_ITS_25.dbf                                 AVAILABLE                 6.060 YES                6.060
/apc2db_db/db_11g/N_CIM_20M_ITS_26.dbf                                 AVAILABLE                 6.060 YES                6.060
/apc2db_db/db_11g/N_CIM_20M_ITS_27.dbf                                 AVAILABLE                 6.060 YES                6.060
/apc2db_db/db_11g/N_CIM_20M_ITS_28.dbf                                 AVAILABLE                 6.060 YES                6.060
/apc2db_db/db_11g/N_CIM_20M_ITS_29.dbf                                 AVAILABLE                 6.060 YES                6.060
/apc2db_db/db_11g/N_CIM_20M_ITS_30.dbf                                 AVAILABLE                 6.060 YES                6.060
/apc2db_db/db_11g/N_CIM_20M_ITS_31.dbf                                 AVAILABLE                 6.060 YES                6.060
/apc2db_db/db_11g/N_CIM_20M_ITS_32.dbf                                 AVAILABLE                 6.060 YES                6.060
/apc2db_db/db_11g/N_CIM_20M_ITS_33.dbf                                 AVAILABLE                 6.060 YES                6.060
/apc2db_db/db_11g/N_CIM_20M_ITS_34.dbf                                 AVAILABLE                 6.060 YES                6.060
/apc2db_db/db_11g/N_CIM_20M_ITS_35.dbf                                 AVAILABLE                 6.060 YES                6.060
/apc2db_db/db_11g/N_CIM_20M_ITS_36.dbf                                 AVAILABLE                 6.060 YES                6.060
/apc2db_db/db_11g/N_CIM_20M_ITS_37.dbf                                 AVAILABLE                 6.060 YES                6.060
/apc2db_db/db_11g/N_CIM_20M_ITS_38.dbf                                 AVAILABLE                 6.060 YES                6.060
/apc2db_db/db_11g/N_CIM_20M_ITS_39.dbf                                 AVAILABLE                 6.060 YES                6.060
/apc2db_db/db_11g/N_CIM_20M_ITS_40.dbf                                 AVAILABLE                 5.910 YES                5.910
/apc2db_db/db_11g/N_CIM_20M_ITS_41.dbf                                 AVAILABLE                 5.910 YES                5.910
/apc2db_db/db_11g/N_CIM_20M_ITS_42.dbf                                 AVAILABLE                 5.910 YES                5.910
/apc2db_db/db_11g/N_CIM_20M_ITS_43.dbf                                 AVAILABLE                 5.910 YES                5.910
/apc2db_db/db_11g/N_CIM_20M_ITS_44.dbf                                 AVAILABLE                 5.420 YES                5.910
/apc2db_db/db_11g/N_CIM_20M_ITS_45.dbf                                 AVAILABLE                 5.420 YES                5.910
/apc2db_db/db_11g/N_CIM_20M_ITS_46.dbf                                 AVAILABLE                 3.610 YES                6.060
/apc2db_db/db_11g/N_CIM_20M_ITS_47.dbf                                 AVAILABLE                 3.610 YES                6.060
/apc2db_db/db_11g/N_CIM_20M_ITS_48.dbf                                 AVAILABLE                 3.610 YES                6.060
/apc2db_db/db_11g/N_CIM_20M_ITS_49.dbf                                 AVAILABLE                  .200 YES                5.860
/apc2db_db/db_11g/N_CIM_20M_ITS_50.dbf                                 AVAILABLE                  .200 YES                5.860
/apc2db_db/db_11g/N_CIM_20M_ITS_51.dbf                                 AVAILABLE                  .200 YES                5.860
/apc2db_db/db_11g/N_CIM_20M_ITS_52.dbf                                 AVAILABLE                  .200 YES                5.860
/apc2db_db/db_11g/N_CIM_20M_ITS_53.dbf                                 AVAILABLE                  .200 YES                5.860
/apc2db_db/db_11g/N_CIM_20M_ITS_54.dbf                                 AVAILABLE                  .200 YES                5.860
/apc2db_db/db_11g/N_CIM_20M_ITS_55.dbf                                 AVAILABLE                  .200 YES                5.860
/apc2db_db/db_11g/N_CIM_20M_ITS_56.dbf                                 AVAILABLE                  .200 YES                5.860
/apc2db_db/db_11g/N_CIM_20M_ITS_57.dbf                                 AVAILABLE                  .200 YES                5.860
/apc2db_db/db_11g/N_CIM_20M_ITS_58.dbf                                 AVAILABLE                  .200 YES                5.860
/apc2db_db/db_11g/N_CIM_20M_ITS_59.dbf                                 AVAILABLE                  .200 YES                5.860
/apc2db_db/db_11g/N_CIM_8M_DTS_01.dbf                                  AVAILABLE                 6.060 YES                6.060
/apc2db_db/db_11g/N_CIM_8M_DTS_02.dbf                                  AVAILABLE                 6.060 YES                6.060
/apc2db_db/db_11g/N_CIM_8M_DTS_03.dbf                                  AVAILABLE                 6.060 YES                6.060
/apc2db_db/db_11g/N_CIM_8M_DTS_04.dbf                                  AVAILABLE                 6.060 YES                6.060
/apc2db_db/db_11g/N_CIM_8M_DTS_05.dbf                                  AVAILABLE                 6.060 YES                6.060
/apc2db_db/db_11g/N_CIM_8M_DTS_06.dbf                                  AVAILABLE                 6.060 YES                6.060
/apc2db_db/db_11g/N_CIM_8M_DTS_07.dbf                                  AVAILABLE                 6.060 YES                6.060
/apc2db_db/db_11g/N_CIM_8M_DTS_08.dbf                                  AVAILABLE                 6.060 YES                6.060
/apc2db_db/db_11g/N_CIM_8M_DTS_09.dbf                                  AVAILABLE                 6.060 YES                6.060
/apc2db_db/db_11g/N_CIM_8M_DTS_10.dbf                                  AVAILABLE                 6.060 YES                6.060
/apc2db_db/db_11g/N_CIM_8M_DTS_11.dbf                                  AVAILABLE                 6.060 YES                6.060
/apc2db_db/db_11g/N_CIM_8M_DTS_12.dbf                                  AVAILABLE                 6.060 YES                6.060
/apc2db_db/db_11g/N_CIM_8M_DTS_13.dbf                                  AVAILABLE                 6.060 YES                6.060
/apc2db_db/db_11g/N_CIM_8M_DTS_14.dbf                                  AVAILABLE                 6.060 YES                6.060
/apc2db_db/db_11g/N_CIM_8M_DTS_15.dbf                                  AVAILABLE                 6.060 YES                6.060
/apc2db_db/db_11g/N_CIM_8M_DTS_16.dbf                                  AVAILABLE                 6.060 YES                6.060
/apc2db_db/db_11g/N_CIM_8M_DTS_17.dbf                                  AVAILABLE                 6.060 YES                6.060
/apc2db_db/db_11g/N_CIM_8M_DTS_18.dbf                                  AVAILABLE                 6.060 YES                6.060
/apc2db_db/db_11g/N_CIM_8M_DTS_19.dbf                                  AVAILABLE                 6.060 YES                6.060
/apc2db_db/db_11g/N_CIM_8M_DTS_20.dbf                                  AVAILABLE                 6.060 YES                6.060
/apc2db_db/db_11g/N_CIM_8M_DTS_21.dbf                                  AVAILABLE                 5.910 YES                5.910
/apc2db_db/db_11g/N_CIM_8M_DTS_22.dbf                                  AVAILABLE                 5.910 YES                5.910
/apc2db_db/db_11g/N_CIM_8M_DTS_23.dbf                                  AVAILABLE                 5.910 YES                5.910
/apc2db_db/db_11g/N_CIM_8M_DTS_24.dbf                                  AVAILABLE                 5.910 YES                5.910
/apc2db_db/db_11g/N_CIM_8M_DTS_25.dbf                                  AVAILABLE                 5.910 YES                5.910
/apc2db_db/db_11g/N_CIM_8M_DTS_26.dbf                                  AVAILABLE                 5.910 YES                5.910
/apc2db_db/db_11g/N_CIM_8M_DTS_27.dbf                                  AVAILABLE                 5.910 YES                5.910
/apc2db_db/db_11g/N_CIM_8M_DTS_28.dbf                                  AVAILABLE                 5.910 YES                5.910
/apc2db_db/db_11g/N_CIM_8M_DTS_29.dbf                                  AVAILABLE                 6.060 YES                6.060
/apc2db_db/db_11g/N_CIM_8M_DTS_30.dbf                                  AVAILABLE                 6.060 YES                6.060
/apc2db_db/db_11g/N_CIM_8M_DTS_31.dbf                                  AVAILABLE                 6.060 YES                6.060
/apc2db_db/db_11g/N_CIM_8M_DTS_32.dbf                                  AVAILABLE                 6.060 YES                6.060
/apc2db_db/db_11g/N_CIM_8M_DTS_33.dbf                                  AVAILABLE                 6.060 YES                6.060
/apc2db_db/db_11g/N_CIM_8M_DTS_34.dbf                                  AVAILABLE                 6.060 YES                6.060
/apc2db_db/db_11g/N_CIM_8M_DTS_35.dbf                                  AVAILABLE                 6.060 YES                6.060
/apc2db_db/db_11g/N_CIM_8M_DTS_36.dbf                                  AVAILABLE                 6.060 YES                6.060
/apc2db_db/db_11g/N_CIM_8M_DTS_37.dbf                                  AVAILABLE                 5.910 YES                5.910
/apc2db_db/db_11g/N_CIM_8M_DTS_38.dbf                                  AVAILABLE                 5.910 YES                5.910
/apc2db_db/db_11g/N_CIM_8M_DTS_39.dbf                                  AVAILABLE                 5.910 YES                5.910
/apc2db_db/db_11g/N_CIM_8M_DTS_40.dbf                                  AVAILABLE                 5.910 YES                5.910
/apc2db_db/db_11g/N_CIM_8M_DTS_41.dbf                                  AVAILABLE                 5.910 YES                5.910
/apc2db_db/db_11g/N_CIM_8M_DTS_42.dbf                                  AVAILABLE                 5.910 YES                5.910
/apc2db_db/db_11g/N_CIM_8M_DTS_43.dbf                                  AVAILABLE                 6.060 YES                6.060
/apc2db_db/db_11g/N_CIM_8M_DTS_44.dbf                                  AVAILABLE                 6.060 YES                6.060
/apc2db_db/db_11g/N_CIM_8M_DTS_45.dbf                                  AVAILABLE                 6.060 YES                6.060
/apc2db_db/db_11g/N_CIM_8M_DTS_46.dbf                                  AVAILABLE                 5.910 YES                5.910
/apc2db_db/db_11g/N_CIM_8M_DTS_47.dbf                                  AVAILABLE                 5.910 YES                5.910
/apc2db_db/db_11g/N_CIM_8M_DTS_48.dbf                                  AVAILABLE                 5.960 YES                5.960
/apc2db_db/db_11g/N_CIM_8M_DTS_49.dbf                                  AVAILABLE                 5.960 YES                5.960
/apc2db_db/db_11g/N_CIM_8M_DTS_50.dbf                                  AVAILABLE                 5.960 YES                5.960</t>
  </si>
  <si>
    <t>控制文件检查</t>
  </si>
  <si>
    <t>/apc2db_db/CTL_11g/control01.ctl</t>
  </si>
  <si>
    <t>数据库用户大小</t>
  </si>
  <si>
    <t>OWNER                          USER_SIZE_GB
------------------------------ ------------
APCDEV                                48.57
APPQOSSYS                               .00
AUDSYS                                  .00
CIMMGR                              1309.13
DBSFWUSER                               .00
DBSNMP                                  .00
EAPDEV                                  .86
F1MCSAPP                                .01
F2ISSUETAG                             7.08
GSMADMIN_INTERNAL                       .01
MCSAPP                                  .06
MCSMGR                                  .23
ORAAUD                                  .15
OUTLN                                   .00
PERFSTAT9I                              .00
RLTDEV                                 2.69
RTDELT                                  .03
RTDUSER                                 .51
SYS                                    5.89
SYSTEM                                  .03
VCSUSER                                 .00
WMSYS                                   .01
WSSAPP                                  .21
XDB                                     .04</t>
  </si>
  <si>
    <t>REDO文件性能检查</t>
  </si>
  <si>
    <t>GROUP#              THREAD#            SEQUENCE#                   MB ARC STATUS
-------------------- -------------------- -------------------- -------------------- --- ----------
               6.000                1.000              266.000              400.000 YES INACTIVE
               7.000                1.000              267.000              400.000 YES INACTIVE
               8.000                1.000              268.000              400.000 NO  CURRENT
               9.000                1.000              264.000              400.000 YES INACTIVE
              10.000                1.000              265.000              400.000 YES INACTIVE</t>
  </si>
  <si>
    <t>归档切换检查</t>
  </si>
  <si>
    <t>DT         DY      Total  h0  h1  h2  h3  h4  h5  h6  h7  h8  h9 h10 h11 h12 h13 h14 h15 h16 h17 h18 h19 h20 h21 h22 h23
---------- ------- ----- --- --- --- --- --- --- --- --- --- --- --- --- --- --- --- --- --- --- --- --- --- --- --- ---
2023-03-04 Sat        114  23  13  32  31  35  45  20  30  20  33  45  0   0   0   0   0   0   0   0   0   0   0
2023-03-06 Mon         1   1   0   0   0   0   0   0   0   0   0   0   0   0   0   0   0   0   0   0   0   0   0   0   0
2023-03-08 Wed         1   1   0   0   0   0   0   0   0   0   0   0   0   0   0   0   0   0   0   0   0   0   0   0   0
2023-03-10 Fri         1   0   0   0   0   0   0   0   0   1   0   0   0   0   0   0   0   0   0   0   0   0   0   0   0
2023-03-12 Sun         1   0   0   0   0   0   0   1   0   0   0   0   0   0   0   0   0   0   0   0   0   0   0   0   0
2023-03-14 Tue         1   0   0   0   0   0   0   0   0   0   1   0   0   0   0   0   0   0   0   0   0   0   0   0   0
2023-03-16 Thu         1   0   0   0   0   0   0   0   0   0   0   0   1   0   0   0   0   0   0   0   0   0   0   0   0
2023-03-18 Sat         1   0   0   0   0   0   0   0   0   0   0   0   0   0   0   0   0   1   0   0   0   0   0   0   0</t>
  </si>
  <si>
    <t>数据库资源使用限制检查</t>
  </si>
  <si>
    <t>INST_ID RESOURCE_NAME                  CURRENT_UTILIZATION MAX_UTILIZATION LIMIT_VALUE
------- ------------------------------ ------------------- --------------- ---------------
      1 processes                                     2495            2499       2500
      1 sessions                                       340             474       3776
      1 ges_procs                                        0               0          0
      1 ges_rsv_msgs                                     0               0          0
      1 parallel_max_servers                             6               6      32767</t>
  </si>
  <si>
    <t>数据库性能负载分析</t>
  </si>
  <si>
    <t>Load Profile                    Per Second   Per Transaction  Per Exec  Per Call
~~~~~~~~~~~~~~~            ---------------   --------------- --------- ---------
             DB Time(s):               0.0               0.0      0.00      0.01
              DB CPU(s):               0.0               0.0      0.00      0.00
      Background CPU(s):               0.0               0.5      0.02      0.00
      Redo size (bytes):      31,111,576.3          36,932.7
  Logical read (blocks):              73.9           1,731.3
          Block changes:               7.2             169.1
 Physical read (blocks):               0.0               0.1
Physical write (blocks):               0.6              14.3
       Read IO requests:               0.0               0.1
      Write IO requests:               0.3               6.0
           Read IO (MB):               0.0               0.0
          Write IO (MB):               0.0               0.1
           IM scan rows:               0.0               0.0
Session Logical Read IM:               0.0               0.0
             User calls:               0.2               4.6
           Parses (SQL):               1.1              25.1
      Hard parses (SQL):               0.0               0.9
     SQL Work Area (MB):               0.0               0.3
                 Logons:              30.0               0.1
            User logons:               0.0               0.0
         Executes (SQL):               1.1              25.9
              Rollbacks:               0.0               0.9
           Transactions:               0.0</t>
  </si>
  <si>
    <t>数据库性能运行效率</t>
  </si>
  <si>
    <t>Instance Efficiency Percentages (Target 100%)
~~~~~~~~~~~~~~~~~~~~~~~~~~~~~~~~~~~~~~~~~~~~~
            Buffer Nowait %:   60.00       Redo NoWait %:   60.00
            Buffer  Hit   %:   60.00    In-memory Sort %:  100.00
            Library Hit   %:   65.94        Soft Parse %:   66.55
         Execute to Parse %:    2.81         Latch Hit %:   99.93
Parse CPU to Parse Elapsd %:   53.85     % Non-Parse CPU:   99.95
          Flash Cache Hit %:    0.00</t>
  </si>
  <si>
    <t>数据库Top等待</t>
  </si>
  <si>
    <t>Top 10 Foreground Events by Total Wait Time
~~~~~~~~~~~~~~~~~~~~~~~~~~~~~~~~~~~~~~~~~~~
                                           Total Wait       Avg   % DB Wait
Event                                Waits Time (sec)      Wait   time Class
------------------------------ ----------- ---------- --------- ------ --------
SQL*Net message from dblink          1,310        7.3    5.55ms   65.1 Network
DB CPU                                            3.9             35.3
log file sync                            9         .4   46.00ms    3.7 Commit
SQL*Net break/reset to client          524         .1  228.04us    1.1 Applicat
SQL*Net break/reset to dblink          262          0   16.21us     .0 Applicat
PGA memory operation                    69          0   16.13us     .0 Other
SQL*Net message to dblink              786          0  922.39ns     .0 Network
SQL*Net message to client              786          0  745.55ns     .0 Network
Disk file operations I/O                 1          0    7.00us     .0 User I/O
ADR block file read                      0          0               .0 Other</t>
  </si>
  <si>
    <t>数据库Top SQL(耗时)</t>
  </si>
  <si>
    <t>监听状态及日志检查</t>
  </si>
  <si>
    <t>....</t>
  </si>
  <si>
    <t>并行度&gt;1的表</t>
  </si>
  <si>
    <t>并行度&gt;1的索引</t>
  </si>
  <si>
    <t>OWNER                          TABLE_NAME                     INDEX_NAME                               DEGREE     STATUS
------------------------------ ------------------------------ ---------------------------------------- ---------- --------
APCDEV                         APC_ASML_SPEC_HIS_TABLE        INX_APC_ASML_SPEC_HIS_TABLE              3          VALID
APCDEV                         APC_ASML_SPEC_TABLE            PK_APC_ASML_SPEC_TABLE                   3          VALID
APCDEV                         APC_CANON_SPEC_HIS_TABLE       INX_APC_CANON_HIS_TABLE                  3          VALID
APCDEV                         APC_CANON_SPEC_TABLE           PK_APC_CANON_SPEC_TABLE                  3          VALID
APCDEV                         APC_CONSTANT_TABLE             PK_APC_CONSTANT_TABLE                    3          VALID
APCDEV                         APC_GUI_ACTIVE_VERSION         PK_APC_GUI_ACTIVE_VERSION                3          VALID
APCDEV                         APC_OFFSET_CANON               PK_APC_OFFSET_CANON                      3          VALID
APCDEV                         APC_OFFSET_TABLE               PK_APC_OFFSET_TABLE                      3          VALID
APCDEV                         APC_PROD_LAYER_INFO            PK_PROD_LAYER                            3          VALID
APCDEV                         APC_SPEC_CONSTANT_TABLE        INX_APC_SPEC_CONSTANT_TABLE              3          VALID
APCDEV                         APC_USER_GROUP                 PK_APC_USER_GROUP                        3          VALID
APCDEV                         EQP_SSC_TABLE                  PK_EQP_SSC_TABLE                         3          VALID
APCDEV                         EQP_SSC_TREND_TABLE            PK_EQP_SSC_TREND_TABLE                   3          VALID
APCDEV                         EXPTOOLID_OVL_TABLE            PK_EQP                                   3          VALID
APCDEV                         EXPTOOLID_TABLE                EXPTOOLID_TABLE_NO_CONSTR                3          VALID
APCDEV                         FOCUS_RETICLE_TABLE            PK_FOCUS_RETICLE                         3          VALID
APCDEV                         FOCUS_TABLE                    PK_FOCUS_TABLE                           3          VALID
APCDEV                         LAYER_EDCPLAN_RELATION         LAYER_EDC_UNI                            3          VALID
APCDEV                         LOGI_PROCESS_MS_REPORT         PROD_LAYER                               3          VALID
APCDEV                         LOGI_PROCESS_MS_REPORT         INX_SYSID                                3          VALID
APCDEV                         LOGI_PROCESS_MS_REPORT         LOGILOT_UNIQUE                           3          VALID
APCDEV                         LOOK_UP_TABLE                  PK_LOOK_UP_TABLE                         3          VALID
APCDEV                         LOT_OVL_PIE_TABLE              PK_LOT_OVL_PIE_TABLE                     3          VALID
APCDEV                         OVL_PIE_TABLE_2017BAK          OVL_PIE_INDEX_1                          3          VALID
APCDEV                         OVL_PIE_TABLE_2017BAK          PK_OVL_PIE_TABLE                         3          VALID
APCDEV                         OVL_PRODUCTION_DATA_CANON      INX_OVL_PRODUCTION_DATA_CANON            3          VALID
APCDEV                         PCMBX_ALL_TABLE                PK_PCMBX                                 3          VALID
APCDEV                         PROCESS_CONDITION_CANON        INX_PROCESS_CONDITION_CANON              3          VALID
APCDEV                         PROCESS_INIT_OVL_TABLE         PK_PROCESS_INIT_OVL_TABLE                3          VALID
APCDEV                         PROCESS_INIT_TABLE             PK_PROCESS_INIT_TABLE                    3          VALID
APCDEV                         PROCESS_OVL_REPORT             PK_PROCESS_OVL_REPORT                    3          VALID
APCDEV                         PROCESS_OVL_REPORT             PROCESS_OVL_INDEX1                       3          VALID
APCDEV                         PROCESS_OVL_REPORT             PROD_LAYER_LOTID                         3          VALID
APCDEV                         PROCESS_OVL_REPORT             PROCESS_OVL_REPORT_INX1                  3          VALID
APCDEV                         PRODUCT_TABLE                  PK_PRODUCT_TABLE                         3          VALID
APCDEV                         PROD_OVL_LOOKUP_TABLE          PK_PROD_OVL_LOOKUP_TABLE                 3          VALID
APCDEV                         REWORK_LOT_KEYIN_CANON         PK_REWORK_CANON                          3          VALID
APCDEV                         REWORK_LOT_KEYIN_TABLE         PK_REWORK                                3          VALID
APCDEV                         SCANNER_MONITOR_CANON          PK_SCANNER_MONITOR_CANON                 3          VALID
APCDEV                         SCANNER_MONITOR_TABLE          PK_SCANNER_MONITOR_TABLE                 3          VALID
APCDEV                         SCANNER_PM_TABLE               PK_SCANNER_PM_TABLE                      3          VALID
APCDEV                         SCANNER_STATUS_CANON           PK_SCANNER_STATUS_CANON                  3          VALID
APCDEV                         SCANNER_STATUS_TABLE           PK_SCANNER_STATUS_TABLE                  3          VALID
CIMMGR                         CIM_GROUPS                     PK_CIM_GROUPS                            3          VALID
CIMMGR                         CIM_SYSTEMS                    PK_CIM_SYSTEMS                           3          VALID
CIMMGR                         CIM_SYS_ENTITIES               PK_CIM_SYS_ENTITIES                      3          VALID
CIMMGR                         CIM_SYS_FUNCTIONS              PK_CIM_SYS_FUNCTIONS                     3          VALID
CIMMGR                         CIM_USERS                      PK_CIM_USERS                             3          VALID
CIMMGR                         CIM_USER_GROUPS                PK_CIM_USER_GROUPS                       3          VALID
CIMMGR                         EAP_CFG_GLOBAL_FAB             PK_EAP_CFG_GLOBAL_FAB                    3          VALID
CIMMGR                         EAP_CFG_MODEL_EQP              EAP_CFG_MODEL_EQP_INDEX1                 3          VALID
CIMMGR                         EAP_CFG_MODEL_EQP              PK_EAP_CFG_MODEL_EQP                     3          VALID
CIMMGR                         EAP_CFG_MODEL_EQPTYPE          PK_EAP_CFG_MODEL_EQPTYPE                 3          VALID
CIMMGR                         EAP_CFG_SECONDEQ_EQP           PK_EAP_CFG_SECONDEQ_EQP                  3          VALID
CIMMGR                         EAP_CFG_SERVER_FAB             PK_EAP_CFG_SERVER_FAB                    3          VALID
CIMMGR                         EAP_CFG_WORKSTATION            PK_EAP_CFG_WORKSTATION                   3          VALID
CIMMGR                         EAP_CFG_SMIF                   PK_EAP_CFG_SMIF                          3          VALID
CIMMGR                         EAP_CFG_SERVER                 PK_EAP_CFG_SERVER                        3          VALID
CIMMGR                         RMS_DRAFT_RECIPE_SPEC          PK_RMS_DRAFT_RECIPE_SPEC                 3          VALID
CIMMGR                         RMS_RECIPE_COMPARE_TYPE        PK_RMS_RECIPE_COMPARE_TYPE               3          VALID
CIMMGR                         RMS_RECIPE_FORMAT              PK_RMS_RECIPE_FORMAT                     3          VALID
CIMMGR                         RMS_RECORD_LOCK                PK_RMS_RECORD_LOCK                       3          VALID
CIMMGR                         RMS_RECIPE_MISMATCH_HISTORY    PK_RMS_RECIPE_MISMATCH_HISTORY           3          VALID
CIMMGR                         EMS_PARANAME_TABLE             UK_PARA_INX                              3          VALID
CIMMGR                         EMS_PARANAME_TABLE             PK_EMS_PARANAME_TABLE                    3          VALID
CIMMGR                         EMS_SPEC_TABLE                 PK_EMS_SPEC_TABLE                        3          VALID
CIMMGR                         EMS_SPEC_TABLE                 EMS_SPEC_INDEX1                          3          VALID
CIMMGR                         EMS_SPEC_TABLE                 EMS_SPEC_INDEX2                          3          VALID
CIMMGR                         EMS_SPEC_HISTORY_TABLE         EMS_SPEC_HISTORY_INDEX1                  3          VALID
CIMMGR                         ELS_EQP_INFO                   PK_ELS_EQP_INFO                          3          VALID
CIMMGR                         WRC_USER_ATTRIBUTE             PK_WRC_USER_ATTRIBUTE                    3          VALID
CIMMGR                         WRC_TANK_STATUS                PK_WRC_TANK_STATUS                       3          VALID
CIMMGR                         WRC_RECIPE_TANK                PK_WRC_RECIPE_TANK                       3          VALID
CIMMGR                         WRC_RECIPE_STATUS              PK_WRC_RECIPE_STATUS                     3          VALID
CIMMGR                         RMS_KEYWORDS_FILTER            PK_RMS_KEYWORDS_FILTER                   3          VALID
CIMMGR                         RCP_RECP_RECPGROUP             PK_RCP_RECP_RECPGROUP                    3          VALID
CIMMGR                         RCP_RECP_EXCEPTION             RECP_EXCEPTION                           3          VALID
CIMMGR                         RCP_RECPGROUP_LIST             PK_RCP_RECPGROUP_LIST                    3          VALID
CIMMGR                         RCP_IMP_RECIPE                 PK_PROD_STEQ_STAGE_RECIPE                3          VALID
CIMMGR                         RCP_IMP_INFO                   PK_PROD_STEPSEQ                          3          VALID
CIMMGR                         RCP_EQP_RECPGROUP              CHAM_RECPGRP                             3          VALID
CIMMGR                         RCP_CHAMBER_EQPTYPE            PK_RCP_CHAMBER_EQPTYPE                   3          VALID
CIMMGR                         EQP_PARMSPEC_TABLE_LOG         PK_EQP_PARMSPEC_TABLE_LOG                3          VALID
CIMMGR                         EQP_PARMSPEC_TABLE             PK_EQP_PARMSPEC_TABLE                    3          VALID
CIMMGR                         EAP_MON_LOT_ATTRIBUTES         PK_EAP_MON_LOT_ATTRIBUTES                3          VALID
CIMMGR                         EAP_MON_EQP_ATTRIBUTES         PK_EAP_MON_EQP_ATTRIBUTES                3          VALID
CIMMGR                         ELS_OVL_TABLE                  PK_ELS_OVL_TABLE                         3          VALID
CIMMGR                         SCS_USER_ENTITY_PRIVS          PK_SCS_USER_ENTITY_PRIVS                 3          VALID
CIMMGR                         SCS_USER_SYS_PRIVS             PK_SCS_USER_SYS_PRIVS                    3          VALID
CIMMGR                         RMS_RECIPE_BODY                PK_RMS_RECIPE_BODY                       3          VALID
CIMMGR                         RMS_RECIPE_SPEC                PK_RMS_RECIPE_SPEC                       3          VALID
CIMMGR                         ELS_DYNAMIC_TABLE              PK_ELS_DYNAMIC_TABLE                     3          VALID
CIMMGR                         ELS_DYNAMIC_TABLE              LASTMODIFY_INDX                          3          VALID
CIMMGR                         ELS_DYNAMIC_TABLE              ELS_DYNAMIC_LOTID_INDEX                  3          VALID
CIMMGR                         ELS_DUV_TABLE                  PK_ELS_DUV_TABLE                         3          VALID
CIMMGR                         WSS_RULE_LOG                   WSS_RULE_LOG_INX1                        3          VALID
CIMMGR                         WSS_RULE_LOG                   WSS_RULE_LOG_INX2                        3          VALID
CIMMGR                         WSS_RULE_INFO                  WSS_RULE_INFO_INX1                       3          VALID
CIMMGR                         WSS_RULE_DETAIL                WSS_RULE_DETAIL_INX1                     3          VALID
CIMMGR                         WSS_REPLY_LOG                  WSS_REPLY_LOG_INX1                       3          VALID
CIMMGR                         WSS_REPLY_LOG                  WSS_REPLY_LOG_INX2                       3          VALID
CIMMGR                         PCC_PARA_SPEC                  PK_PCC_PARA_SPEC                         3          VALID
CIMMGR                         PCC_PARA_INFO                  PK_PCC_PARA_INFO                         3          VALID
CIMMGR                         PCC_PARA_INFO                  UNQ_PCC_PARA_INFO                        3          VALID
CIMMGR                         ELS_CDSEM_TABLE                PK_ELS_CDSEM_TABLE                       3          VALID
CIMMGR                         ELS_ADI_TABLE                  PK_ELS_ADI_TABLE                         3          VALID
CIMMGR                         EAP_MON_SPEC_MAPPING           PK_EAP_MON_SPEC_MAPPING                  3          VALID
CIMMGR                         EAP_MON_FLOW_SPEC              PK_EAP_MON_FLOW_SPEC                     3          VALID
WSSAPP                         WSS_REPLY_LOG                  WSS_REPLY_LOG_INX1                       3          VALID
WSSAPP                         WSS_REPLY_LOG                  WSS_REPLY_LOG_INX2                       3          VALID
WSSAPP                         WSS_RULE_DETAIL                WSS_RULE_DETAIL_INX1                     3          VALID
WSSAPP                         WSS_RULE_INFO                  WSS_RULE_INFO_INX1                       3          VALID
WSSAPP                         WSS_RULE_LOG                   WSS_RULE_LOG_INX1                        3          VALID
WSSAPP                         WSS_RULE_LOG                   WSS_RULE_LOG_INX2                        3          VALID
EAPDEV                         EQP_ETCHRATERECIPE_TABLE       PK_EQP_ETCHRATERECIPE_TABLE              3          VALID
EAPDEV                         EQP_METROLOGY_RECIPE_TABLE     PK_EQP_METROLOGY_RECIPE_TABLE            3          VALID
EAPDEV                         EQP_PROCESS_PROD_TABLE         PK_EQP_PROCESS_PROD_TABLE                3          VALID
EAPDEV                         EQP_PROCESS_RECIPE_TABLE       PK_EQP_PROCESS_RECIPE_TABLE              3          VALID
EAPDEV                         SORTER_USER_TABLE              PK_SORTER_USER_TABLE                     3          VALID
F1MCSAPP                       OST_DAILY                      OST_DAILY_INDEX                          3          VALID
F1MCSAPP                       OST_DETAIL                     OST_DETAIL_INDEX                         3          VALID
F1MCSAPP                       SCARREJECTLOT_DETAIL           SCARREJECTLOT_DETAIL_INDEX               3          VALID
F1MCSAPP                       SCARTIMEOUT_INFO_DETAIL        SCARTIMEOUT_INFO_DETAIL_INDEX            3          VALID
F2ISSUETAG                     ISSUETAG_DETAIL                ISSUETAG_DETAIL_INDEX1                   3          VALID
MCSAPP                         OST_DAILY                      OST_DAILY_INDEX                          3          VALID
MCSAPP                         OST_DETAIL                     OST_DETAIL_INDEX                         3          VALID
MCSAPP                         SCARREJECTLOT_DETAIL           SCARREJECTLOT_DETAIL_INDEX               3          VALID
MCSAPP                         SCARTIMEOUT_INFO_DETAIL        SCARTIMEOUT_INFO_DETAIL_INDEX            3          VALID
RLTDEV                         EQP_HISTORY_TABLE              EQP_HISTORY_TABLE_INDEX1                 3          VALID
CIMMGR                         PCC_PARA_MULTISPEC             PK_PCC_PARA_MULTISPEC                    3          VALID
APCDEV                         OVL_PIE_TABLE_BK               OVL_PIE_INDEX22                          3          VALID
CIMMGR                         EMS_LIMIT_CONFIG_TABLE         PK_EMS_LIMIT_CONFIG_TABLE                3          VALID
WSSAPP                         WSS_RESULT_HISTORY             WSS_RESULT_HISTORY_INX1                  3          VALID
WSSAPP                         WSS_RESULT_HISTORY             WSS_RESULT_HISTORY_INX2                  3          VALID
APCDEV                         REWORK_LOT_KEYIN_NIKON         PK_REWORK_NIKON                          3          VALID
APCDEV                         OVL_PIE_TABLE                  OVL_PIE_INDEX_MID_1                      3          VALID
APCDEV                         OVL_PIE_TABLE                  PK_OVL_PIE_TABLE_MID                     3          VALID
CIMMGR                         EMS_AMAT_CENTURA_DATA          EMS_AMAT_CENTURA_D_IX2                   2          N/A
CIMMGR                         EMS_AMAT_CENTURA_OODATA        PK_EMS_AMAT_CENTURA_WAFERINX             2          N/A
CIMMGR                         EMS_AMAT_DPS_METAL_DATA        EMS_DPS_METAL_D_IX2                      2          N/A
CIMMGR                         EMS_AMAT_DPS_METAL_OODATA      PK_EMS_AMAT_DPS_METAL_INX                2          N/A
CIMMGR                         EMS_AMAT_DPS_POLY_DATA         EMS_AMAT_DPS_POLY_D_IX2                  2          N/A
CIMMGR                         EMS_AMAT_DPS_POLY_OODATA       PK_EMS_AMAT_DPS_POLY_INX                 2          N/A
CIMMGR                         EMS_AMAT_EMAX_DATA             EMS_AMAT_EMAX_D_IX2                      2          N/A
CIMMGR                         EMS_AMAT_EMAX_OODATA           PK_EMS_AMAT_EMAX_WAFERINX                2          N/A
CIMMGR                         EMS_AMAT_ENDURA_DATA           EMS_AMAT_ENDURA_D_IX2                    2          N/A
CIMMGR                         EMS_AMAT_ENDURA_OODATA         PK_EMS_AMAT_ENDURA_WAFERINX              2          N/A
CIMMGR                         EMS_AMAT_MIRRA_DATA            EMS_AMAT_MIRRA_D_IX2                     2          N/A
CIMMGR                         EMS_AMAT_MIRRA_OODATA          PK_EMS_AMAT_MIRRA_WAFERINX               2          N/A
CIMMGR                         EMS_AMAT_PRODUCER_DATA         EMS_AMAT_PRODUCER_D_IX2                  2          N/A
CIMMGR                         EMS_AMAT_PRODUCER_OODATA       PK_EMS_AMAT_PRODUCER_WAFERINX            2          N/A
CIMMGR                         EMS_AMAT_QUANTUM_DATA          EMS_AMAT_QUANTUM_D_IX2                   2          N/A
CIMMGR                         EMS_AMAT_QUANTUM_LEAP_DATA     EMS_AMAT_QUANTUM_LEAP_D_IX2              2          N/A
CIMMGR                         EMS_AMAT_QUANTUM_LEAP_OODATA   PK_EMS_AMAT_QUANTUM_LEAP_INX             2          N/A
CIMMGR                         EMS_AMAT_QUANTUM_OODATA        PK_EMS_AMAT_QUANTUM_WAFERINX             2          N/A
CIMMGR                         EMS_AMAT_RTP_DATA              EMS_AMAT_RTP_D_IX2                       2          N/A
CIMMGR                         EMS_AMAT_RTP_OODATA            PK_EMS_AMAT_RTP_WAFERINX                 2          N/A
CIMMGR                         EMS_AMAT_SUPERE_DATA           EMS_AMAT_SUPERE_D_IX2                    2          N/A
CIMMGR                         EMS_AMAT_SUPERE_OODATA         PK_EMS_AMAT_SUPERE_WAFERINX              2          N/A
CIMMGR                         EMS_ASML_INLINE_1400_DATA      EMS_ASML_INLINE_1400_D_IX2               2          N/A
CIMMGR                         EMS_ASML_INLINE_1400_OODATA    PK_EMS_ASML_INLINE_1400_INX              2          N/A
CIMMGR                         EMS_ASML_INLINE_DATA           EMS_ASML_INLINE_D_IX2                    2          N/A
CIMMGR                         EMS_ASML_INLINE_OODATA         PK_EMS_ASML_INLINE_WAFERINX              2          N/A
CIMMGR                         EMS_ASM_FURNACE_DATA           EMS_ASM_FURNACE_D_IX2                    2          N/A
CIMMGR                         EMS_ASM_FURNACE_OODATA         PK_EMS_ASM_FURNACE_WAFERINX              2          N/A
CIMMGR                         EMS_AXCELIS_GEMINI_DATA        EMS_AXCELIS_GEMINI_D_IX2                 2          N/A
CIMMGR                         EMS_AXCELIS_GEMINI_OODATA      PK_EMS_AXCELIS_GEMINI_INX                2          N/A
CIMMGR                         EMS_AXCELIS_GSD200E2_DATA      EMS_AXCELIS_GSD200E2_D_IX2               2          N/A
CIMMGR                         EMS_AXCELIS_GSD200E2_OODATA    PK_EMS_AXCELIS_GSD200E2_INX              2          N/A
CIMMGR                         EMS_AXCELIS_XE_DATA            EMS_AXCELIS_XE_D_IX2                     2          N/A
CIMMGR                         EMS_CANON_INLINE_DATA          EMS_CANON_INLINE_D_IX2                   2          N/A
CIMMGR                         EMS_CANON_INLINE_OODATA        PK_EMS_CANON_INLINE_WAFERINX             2          N/A
CIMMGR                         EMS_CETC_HJP200_DATA           EMS_CETC_HJP200_D_IX2                    2          N/A
CIMMGR                         EMS_DNS_WS820_DATA             EMS_DNS_WS820_D_IX2                      2          N/A
CIMMGR                         EMS_DNS_WS820_OODATA           PK_EMS_DNS_WS820_WAFERINX                2          N/A
CIMMGR                         EMS_KE_FURNACE_DATA            EMS_KE_FURNACE_D_IX2                     2          N/A
CIMMGR                         EMS_KE_FURNACE_OODATA          PK_EMS_KE_FURNACE_INX                    2          N/A
CIMMGR                         EMS_LAM_2300_DATA              EMS_LAM_2300_D_IX2                       2          N/A
CIMMGR                         EMS_LAM_2300_OODATA            PK_EMS_LAM_2300_WAFERINX                 2          N/A
CIMMGR                         EMS_LAM_9400A_DATA             EMS_LAM_9400A_D_IX2                      2          N/A
CIMMGR                         EMS_LAM_9400_DATA              EMS_LAM_9400_D_IX2                       2          N/A
CIMMGR                         EMS_LAM_9400_OODATA            PK_EMS_LAM_9400_WAFERINX                 2          N/A
CIMMGR                         EMS_LAM_9600A_DATA             EMS_LAM_9600A_D_IX2                      2          N/A
CIMMGR                         EMS_LAM_9600_DATA              EMS_LAM_9600_D_IX2                       2          N/A
CIMMGR                         EMS_LAM_9600_OODATA            PK_EMS_LAM_9600_WAFERINX                 2          N/A
CIMMGR                         EMS_LAM_EXCELAN_DATA           EMS_LAM_EXCELAN_D_IX2                    2          N/A
CIMMGR                         EMS_LAM_EXCELAN_OODATA         PK_EMS_LAM_EXCELAN_WAFERINX              2          N/A
CIMMGR                         EMS_LMN_MARKER_DATA            EMS_LMN_MARKER_D_IX2                     2          N/A
CIMMGR                         EMS_LMN_MARKER_OODATA          PK_EMS_LMN_MARKER_WAFERINX               2          N/A
CIMMGR                         EMS_MATTSON_ASPEN_DATA         EMS_MATTSON_ASPEN_D_IX2                  2          N/A
CIMMGR                         EMS_MATTSON_ASPEN_OODATA       PK_EMS_MATTSON_ASPEN_WAFERINX            2          N/A
CIMMGR                         EMS_MATTSON_AWP3GEN_DATA       EMS_MATTSON_AWP3GEN_D_IX2                2          N/A
CIMMGR                         EMS_MATTSON_AWP3GEN_OODATA     PK_EMS_MATTSON_AWP3GEN_INX               2          N/A
CIMMGR                         EMS_NISSIN_2000AH_DATA         EMS_NISSIN_2000AH_D_IX2                  2          N/A
CIMMGR                         EMS_NISSIN_2000AH_OODATA       PK_EMS_NISSIN_2000AH_INX                 2          N/A
CIMMGR                         EMS_NISSIN_EX2300_DATA         EMS_NISSIN_EX2300_D_IX2                  2          N/A
CIMMGR                         EMS_NISSIN_EX2300_OODATA       PK_EMS_NISSIN_EX2300_WAFERINX            2          N/A
CIMMGR                         EMS_NOVELLOUS_GAMMAR_DATA      EMS_NOVELLOUS_GAMMAR_D_IX2               2          N/A
CIMMGR                         EMS_NOVELLOUS_GAMMAR_OODATA    PK_EMS_NOVELLOUS_GAMMAR_INX              2          N/A
CIMMGR                         EMS_NOVELLUS_C2_DATA           EMS_NOVELLUS_C2_D_IX2                    2          N/A
CIMMGR                         EMS_NOVELLUS_C2_OODATA         PK_EMS_NOVELLUS_C2_WAFERINX              2          N/A
CIMMGR                         EMS_PIOTECH_PF300T_DATA        EMS_PIOTECH_PF300T_D_IX2                 2          N/A
CIMMGR                         EMS_PROZ_ASMLXT_DATA           EMS_PROZ_ASMLXT_D_IX2                    2          N/A
CIMMGR                         EMS_SES_BW2000_OODATA          PK_EMS_SES_BW2000_WAFERINX               2          N/A
CIMMGR                         EMS_SES_PEAGUS_OODATA          PK_EMS_SES_PEAGUS_WAFERINX               2          N/A
CIMMGR                         EMS_SES_PEGASUS_DATA           EMS_SES_PEAGSUS_DATA_INX2                2          N/A
CIMMGR                         EMS_SES_PEGASUS_OODATA         PK_EMS_SES_PEGASUS_WAFERINX              2          N/A
CIMMGR                         EMS_SEZ_SP223_DATA             EMS_SEZ_SP223_D_IX2                      2          N/A
CIMMGR                         EMS_SEZ_SP223_OODATA           PK_EMS_SEZ_SP223_WAFERINX                2          N/A
CIMMGR                         EMS_SHIBAURA_CDE80_DATA        EMS_SHIBAURA_CDE80_D_IX2                 2          N/A
CIMMGR                         EMS_SHIBAURA_CDE80_OODATA      PK_EMS_SHIBAURA_CDE80_INX                2          N/A
CIMMGR                         EMS_TEL_8S_DATA                EMS_TEL_8S_D_IX2                         2          N/A
CIMMGR                         EMS_TEL_8S_OODATA              PK_EMS_TEL_8S_WAFERINX                   2          N/A
CIMMGR                         EMS_TEL_ACT8_DATA              EMS_TEL_ACT8_D_IX2                       2          N/A
CIMMGR                         EMS_TEL_ACT8_OODATA            PK_EMS_TEL_ACT8_WAFERINX                 2          N/A
CIMMGR                         EMS_TEL_DRM_DATA               EMS_TEL_DRM_D_IX2                        2          N/A
CIMMGR                         EMS_TEL_DRM_OODATA             PK_EMS_TEL_DRM_WAFERINX                  2          N/A
CIMMGR                         EMS_TEL_FURNANCE_DATA          EMS_TEL_FURNANCE_D_IX2                   2          N/A
CIMMGR                         EMS_TEL_FURNANCE_OODATA        PK_EMS_TEL_FURNANCE_WAFERINX             2          N/A
CIMMGR                         EMS_TEL_FURNANCE_PLUS_DATA     EMS_TEL_FURNANCE_PLUS_D_IX2              2          N/A
CIMMGR                         EMS_TEL_FURNANCE_PLUS_OODATA   PK_EMS_TEL_FURNANCE_PLUS_INX             2          N/A
CIMMGR                         EMS_TEL_GCIB_DATA              EMS_TEL_GCIB_D_IX2                       2          N/A
CIMMGR                         EMS_TEL_MARK8_DATA             EMS_TEL_MARK8_D_IX2                      2          N/A
CIMMGR                         EMS_TEL_MARK8_OODATA           PK_EMS_TEL_MARK8_WAFERINX                2          N/A
CIMMGR                         EMS_TEL_MB2_DATA               EMS_TEL_MB2_D_IX2                        2          N/A
CIMMGR                         EMS_TEL_MB2_OODATA             PK_EMS_TEL_MB2_WAFERINX                  2          N/A
CIMMGR                         EMS_TEL_UNITYEP_DATA           EMS_TEL_UNITYEP_D_IX2                    2          N/A
CIMMGR                         EMS_TEL_UNITYEP_OODATA         PK_EMS_TEL_UNITYEP_WAFERINX              2          N/A
CIMMGR                         EMS_USHIO_UV_DATA              EMS_USHIO_UV_D_IX2                       2          N/A
CIMMGR                         EMS_VARIAN_VIISTA810_DATA      EMS_VARIAN_VIISTA810_D_IX2               2          N/A
CIMMGR                         WSS_RESULT_HISTORY             WSS_RESULT_HISTORY_INX1                  3          VALID
APCDEV                         APC_NIKON_SPEC_HIS_TABLE       INX_APC_NIKON_HIS_TABLE                  3          VALID
APCDEV                         APC_NIKON_SPEC_TABLE           PK_APC_NIKON_SPEC_TABLE                  3          VALID
APCDEV                         APC_OFFSET_NIKON               PK_APC_OFFSET_NIKON                      3          VALID
APCDEV                         OVL_PRODUCTION_DATA_NIKON      INX_OVL_PRODUCTION_DATA_NIKON            3          VALID
APCDEV                         PROCESS_CONDITION_NIKON        INX_PROCESS_CONDITION_NIKON              3          VALID
APCDEV                         SCANNER_STATUS_NIKON           PK_SCANNER_STATUS_NIKON                  3          VALID</t>
  </si>
  <si>
    <t>无效索引检查</t>
  </si>
  <si>
    <t>Oracle序列检查</t>
  </si>
  <si>
    <t>SEQUENCE_OWNER                 CNT_LESS_200
------------------------------ ------------
CIMMGR                                   35
MCSMGR                                   24
GSMADMIN_INTERNAL                        16
WSSAPP                                    1
RLTDEV                                    1
RTDUSER                                   1</t>
  </si>
  <si>
    <t>闪回区配置</t>
  </si>
  <si>
    <t>NAME                                          SPACE_LIMIT       SPACE_USED SPACE_RECLAIMABLE  NUMBER_OF_FILES               CON_ID
---------------------------------------- ---------------- ---------------- ----------------- ---------------- --------------------
/apc2db_arc/flashback/apc2db              322,122,547,200       26,689,536                 0                1                 .000</t>
  </si>
  <si>
    <t>FlashRecovery区使用情况</t>
  </si>
  <si>
    <t>FILE_TYPE                                PERCENT_SPACE_USED PERCENT_SPACE_RECLAIMABLE  NUMBER_OF_FILES               CON_ID
---------------------------------------- ------------------ ------------------------- ---------------- --------------------
CONTROL FILE                                             91                         0                0                 .000
REDO LOG                                                  0                         0                0                 .000
ARCHIVED LOG                                              0                         0                0                 .000
BACKUP PIECE                                              0                         0                1                 .000
IMAGE COPY                                                0                         0                0                 .000
FLASHBACK LOG                                             0                         0                0                 .000
FOREIGN ARCHIVED LOG                                      0                         0                0                 .000
AUXILIARY DATAFILE COPY                                   0                         0                0                 .000</t>
  </si>
  <si>
    <t>数据库日志检查</t>
  </si>
  <si>
    <t>Please check alert log file.</t>
  </si>
  <si>
    <t>数据库RMAN备份</t>
  </si>
  <si>
    <t>DBA权限用户检查</t>
  </si>
  <si>
    <t>GRANTEE                        GRANTED_ROLE    ADMIN_OPTION
------------------------------ --------------- --------------------
SYS                            DBA             YES
SYSTEM                         DBA             YES</t>
  </si>
  <si>
    <t>SYSDBA权限用户检查</t>
  </si>
  <si>
    <t>数据库审计空间检查</t>
  </si>
  <si>
    <t>SEGMENT_NAME    SIZE_IN_MEGABYTES TABLESPACE_NAME
--------------- ----------------- ------------------------------
AUD$                      1280.00 AUDIT_TS
FGA_LOG$                      .06 SYSTEM</t>
  </si>
  <si>
    <t>数据库审计对象检查</t>
  </si>
  <si>
    <t>COUNT(*)
--------------------
                .000</t>
  </si>
  <si>
    <t>业务对象存放系统表空间</t>
  </si>
  <si>
    <t>OWNER                          TABLESPACE_NAME                SEGMENT_NAME                   SEGMENT_TYPE
------------------------------ ------------------------------ ------------------------------ ------------------------------
GSMADMIN_INTERNAL              SYSTEM                         SHARD_TS                       TABLE
GSMADMIN_INTERNAL              SYSTEM                         SYS_C00946932                  INDEX</t>
  </si>
  <si>
    <t>错误口令登录锁定帐户PROFILE检查</t>
  </si>
  <si>
    <t>USERNAME                       PROFILE              RESOURCE_NAME                  RESOURCE_T LIMIT
------------------------------ -------------------- ------------------------------ ---------- ------------------------------
SPLUNKAUDIT                    DEFAULT              FAILED_LOGIN_ATTEMPTS          PASSWORD   UNLIMITED
ORAAUD                         DEFAULT              FAILED_LOGIN_ATTEMPTS          PASSWORD   UNLIMITED
EAPDISSCS                      DEFAULT              FAILED_LOGIN_ATTEMPTS          PASSWORD   UNLIMITED
PERFSTAT                       DEFAULT              FAILED_LOGIN_ATTEMPTS          PASSWORD   UNLIMITED
DPA4ORACLE                     DEFAULT              FAILED_LOGIN_ATTEMPTS          PASSWORD   UNLIMITED
ITILUSER                       DEFAULT              FAILED_LOGIN_ATTEMPTS          PASSWORD   UNLIMITED
APCDEV                         DEFAULT              FAILED_LOGIN_ATTEMPTS          PASSWORD   UNLIMITED
WSSAPP                         DEFAULT              FAILED_LOGIN_ATTEMPTS          PASSWORD   UNLIMITED
AMSAPP                         DEFAULT              FAILED_LOGIN_ATTEMPTS          PASSWORD   UNLIMITED
EAPDEV                         DEFAULT              FAILED_LOGIN_ATTEMPTS          PASSWORD   UNLIMITED
F2ISSUETAG                     DEFAULT              FAILED_LOGIN_ATTEMPTS          PASSWORD   UNLIMITED
MCSAPP                         DEFAULT              FAILED_LOGIN_ATTEMPTS          PASSWORD   UNLIMITED
F1MCSAPP                       DEFAULT              FAILED_LOGIN_ATTEMPTS          PASSWORD   UNLIMITED
RLTDEV                         DEFAULT              FAILED_LOGIN_ATTEMPTS          PASSWORD   UNLIMITED
CIMRPT                         DEFAULT              FAILED_LOGIN_ATTEMPTS          PASSWORD   UNLIMITED
SCSAPP                         DEFAULT              FAILED_LOGIN_ATTEMPTS          PASSWORD   UNLIMITED
CIMMGR                         DEFAULT              FAILED_LOGIN_ATTEMPTS          PASSWORD   UNLIMITED
RTDUSER                        DEFAULT              FAILED_LOGIN_ATTEMPTS          PASSWORD   UNLIMITED
EAPQUERY                       DEFAULT              FAILED_LOGIN_ATTEMPTS          PASSWORD   UNLIMITED
RCPAPP                         DEFAULT              FAILED_LOGIN_ATTEMPTS          PASSWORD   UNLIMITED
PERFSTAT9I                     DEFAULT              FAILED_LOGIN_ATTEMPTS          PASSWORD   UNLIMITED
VCSUSER                        DEFAULT              FAILED_LOGIN_ATTEMPTS          PASSWORD   UNLIMITED
F2REPUSER                      DEFAULT              FAILED_LOGIN_ATTEMPTS          PASSWORD   UNLIMITED
YMSEAP2                        DEFAULT              FAILED_LOGIN_ATTEMPTS          PASSWORD   UNLIMITED
EMSAPP                         DEFAULT              FAILED_LOGIN_ATTEMPTS          PASSWORD   UNLIMITED
ALSAPP                         DEFAULT              FAILED_LOGIN_ATTEMPTS          PASSWORD   UNLIMITED
CIMCFG                         DEFAULT              FAILED_LOGIN_ATTEMPTS          PASSWORD   UNLIMITED
PSCAPP                         DEFAULT              FAILED_LOGIN_ATTEMPTS          PASSWORD   UNLIMITED
MESUSER                        DEFAULT              FAILED_LOGIN_ATTEMPTS          PASSWORD   UNLIMITED
EAPSA                          DEFAULT              FAILED_LOGIN_ATTEMPTS          PASSWORD   UNLIMITED
RMSAPP                         DEFAULT              FAILED_LOGIN_ATTEMPTS          PASSWORD   UNLIMITED
RTDELT                         DEFAULT              FAILED_LOGIN_ATTEMPTS          PASSWORD   UNLIMITED
MCSMGR                         SESS_100             FAILED_LOGIN_ATTEMPTS          PASSWORD   DEFAULT</t>
  </si>
  <si>
    <t>病毒勒索攻击检查</t>
  </si>
  <si>
    <t>SCNHealthCheck检查</t>
  </si>
  <si>
    <t>--------------------------------------------------------------
ScnHealthCheck
--------------------------------------------------------------
Current Date: 2023/03/22 16:41:14
Current SCN:   10046958859857
Version:       19.0.0.0.0
--------------------------------------------------------------
Result: C - SCN Headroom is good
Apply the latest recommended patches
based on your maintenance schedule
For further information review MOS document id 1393363.1
--------------------------------------------------------------</t>
  </si>
  <si>
    <t>DataGuard同步延迟检查</t>
  </si>
  <si>
    <t>DataGuard同步报错检查</t>
  </si>
  <si>
    <t>----</t>
  </si>
  <si>
    <t>sm0ora11节点的/ghome和/soft使用率超80%
建议最近一段时间持续关注aaa</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</si>
</sst>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44" formatCode="_(&quot;$&quot;* #,##0.00_);_(&quot;$&quot;* \(#,##0.00\);_(&quot;$&quot;* &quot;-&quot;??_);_(@_)"/>
  </numFmts>
  <fonts count="32" x14ac:knownFonts="1">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sz val="18"/>
      <color theme="2" tint="-0.499984740745262"/>
      <name val="Corbel"/>
      <family val="2"/>
      <scheme val="minor"/>
    </font>
    <font>
      <b/>
      <sz val="12"/>
      <color theme="1"/>
      <name val="Corbel"/>
      <family val="2"/>
      <scheme val="minor"/>
    </font>
    <font>
      <sz val="11"/>
      <color rgb="FF46202F"/>
      <name val="Corbel"/>
      <family val="2"/>
      <scheme val="minor"/>
    </font>
    <font>
      <sz val="9"/>
      <name val="宋体"/>
      <family val="3"/>
      <charset val="134"/>
      <scheme val="minor"/>
    </font>
    <font>
      <b/>
      <sz val="36"/>
      <color theme="1"/>
      <name val="Impact"/>
      <family val="2"/>
    </font>
    <font>
      <b/>
      <sz val="36"/>
      <color theme="1"/>
      <name val="等线"/>
      <family val="2"/>
      <charset val="134"/>
    </font>
    <font>
      <sz val="32"/>
      <color theme="2" tint="-0.499984740745262"/>
      <name val="Impact"/>
      <family val="2"/>
    </font>
    <font>
      <sz val="11"/>
      <color theme="3"/>
      <name val="宋体"/>
      <family val="2"/>
      <charset val="134"/>
    </font>
    <font>
      <b/>
      <sz val="12"/>
      <color theme="1"/>
      <name val="微软雅黑"/>
      <family val="2"/>
      <charset val="134"/>
      <scheme val="minor"/>
    </font>
    <font>
      <b/>
      <sz val="12"/>
      <color theme="1"/>
      <name val="宋体"/>
      <family val="2"/>
      <charset val="134"/>
    </font>
    <font>
      <sz val="11"/>
      <color theme="1"/>
      <name val="Microsoft YaHei Light"/>
      <family val="2"/>
      <charset val="134"/>
    </font>
    <font>
      <sz val="11"/>
      <color theme="3"/>
      <name val="Microsoft YaHei Light"/>
      <family val="2"/>
      <charset val="134"/>
    </font>
    <font>
      <b/>
      <sz val="11"/>
      <color theme="3"/>
      <name val="Microsoft YaHei Light"/>
      <family val="2"/>
      <charset val="134"/>
    </font>
    <font>
      <sz val="32"/>
      <color theme="6"/>
      <name val="Impact"/>
      <family val="2"/>
    </font>
    <font>
      <sz val="9"/>
      <color indexed="81"/>
      <name val="宋体"/>
      <family val="3"/>
      <charset val="134"/>
    </font>
    <font>
      <b/>
      <sz val="9"/>
      <color indexed="81"/>
      <name val="宋体"/>
      <family val="3"/>
      <charset val="134"/>
    </font>
    <font>
      <sz val="11"/>
      <color theme="1"/>
      <name val="Calibri"/>
      <family val="2"/>
    </font>
    <font>
      <b/>
      <sz val="11"/>
      <color rgb="FFE6E6FA"/>
      <name val="Calibri"/>
      <family val="2"/>
    </font>
    <font>
      <sz val="9"/>
      <color theme="1"/>
      <name val="Microsoft YaHei Light"/>
      <family val="2"/>
      <charset val="134"/>
    </font>
    <font>
      <b/>
      <sz val="12"/>
      <color theme="0"/>
      <name val="宋体"/>
      <family val="2"/>
      <charset val="134"/>
    </font>
  </fonts>
  <fills count="13">
    <fill>
      <patternFill patternType="none"/>
    </fill>
    <fill>
      <patternFill patternType="gray125"/>
    </fill>
    <fill>
      <patternFill patternType="solid">
        <fgColor theme="0"/>
        <bgColor indexed="64"/>
      </patternFill>
    </fill>
    <fill>
      <patternFill patternType="solid">
        <fgColor theme="7" tint="0.79998168889431442"/>
        <bgColor indexed="65"/>
      </patternFill>
    </fill>
    <fill>
      <patternFill patternType="solid">
        <fgColor theme="8" tint="0.79998168889431442"/>
        <bgColor indexed="64"/>
      </patternFill>
    </fill>
    <fill>
      <patternFill patternType="solid">
        <fgColor rgb="FFEAEAEA"/>
        <bgColor indexed="64"/>
      </patternFill>
    </fill>
    <fill>
      <patternFill patternType="solid">
        <fgColor theme="0" tint="-4.9989318521683403E-2"/>
        <bgColor indexed="64"/>
      </patternFill>
    </fill>
    <fill>
      <patternFill patternType="solid">
        <fgColor theme="0" tint="-4.9989318521683403E-2"/>
        <bgColor theme="0" tint="-0.14993743705557422"/>
      </patternFill>
    </fill>
    <fill>
      <patternFill patternType="solid">
        <fgColor theme="1" tint="0.499984740745262"/>
        <bgColor indexed="64"/>
      </patternFill>
    </fill>
    <fill>
      <patternFill patternType="solid">
        <fgColor rgb="FF555555"/>
      </patternFill>
    </fill>
    <fill>
      <patternFill patternType="solid">
        <fgColor rgb="FF4876FF"/>
      </patternFill>
    </fill>
    <fill>
      <patternFill patternType="solid">
        <fgColor rgb="FFFFAEB9"/>
      </patternFill>
    </fill>
    <fill>
      <patternFill patternType="solid">
        <fgColor rgb="FF00BF5F"/>
      </patternFill>
    </fill>
  </fills>
  <borders count="6">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s>
  <cellStyleXfs count="20">
    <xf numFmtId="0" fontId="0" fillId="2" borderId="0">
      <alignment vertical="center" wrapText="1"/>
    </xf>
    <xf numFmtId="0" fontId="5" fillId="0" borderId="0" applyNumberFormat="0" applyFill="0" applyProtection="0">
      <alignment horizontal="left" vertical="center"/>
    </xf>
    <xf numFmtId="0" fontId="9" fillId="0" borderId="0" applyNumberFormat="0" applyFill="0" applyBorder="0" applyProtection="0">
      <alignment horizontal="left" wrapText="1"/>
    </xf>
    <xf numFmtId="44" fontId="3" fillId="0" borderId="0" applyFont="0" applyFill="0" applyBorder="0" applyProtection="0">
      <alignment vertical="center"/>
    </xf>
    <xf numFmtId="9" fontId="7" fillId="0" borderId="0" applyFill="0" applyBorder="0" applyProtection="0">
      <alignment horizontal="left" vertical="center"/>
    </xf>
    <xf numFmtId="0" fontId="8" fillId="0" borderId="0" applyNumberFormat="0" applyFill="0" applyBorder="0" applyProtection="0">
      <alignment vertical="center"/>
    </xf>
    <xf numFmtId="0" fontId="7" fillId="0" borderId="0" applyNumberFormat="0" applyFill="0" applyBorder="0" applyAlignment="0">
      <alignment vertical="center"/>
    </xf>
    <xf numFmtId="0" fontId="4" fillId="0" borderId="1" applyNumberFormat="0" applyFill="0" applyProtection="0">
      <alignment horizontal="right" vertical="center"/>
    </xf>
    <xf numFmtId="0" fontId="12" fillId="0" borderId="0" applyNumberFormat="0" applyFill="0" applyBorder="0" applyProtection="0">
      <alignment horizontal="left"/>
    </xf>
    <xf numFmtId="7" fontId="4" fillId="0" borderId="1" applyFill="0" applyAlignment="0" applyProtection="0"/>
    <xf numFmtId="37" fontId="6" fillId="0" borderId="0" applyFont="0" applyFill="0" applyBorder="0" applyProtection="0">
      <alignment horizontal="left" vertical="center" indent="1"/>
    </xf>
    <xf numFmtId="7" fontId="6" fillId="0" borderId="0" applyFont="0" applyFill="0" applyBorder="0" applyProtection="0">
      <alignment horizontal="right" vertical="center"/>
    </xf>
    <xf numFmtId="0" fontId="6" fillId="2" borderId="0" applyNumberFormat="0" applyFont="0" applyFill="0" applyBorder="0">
      <alignment horizontal="center" vertical="center"/>
    </xf>
    <xf numFmtId="0" fontId="6" fillId="2" borderId="0" applyNumberFormat="0" applyFont="0" applyFill="0" applyBorder="0">
      <alignment horizontal="right" vertical="center"/>
    </xf>
    <xf numFmtId="0" fontId="10" fillId="2" borderId="0" applyNumberFormat="0" applyFill="0" applyBorder="0" applyAlignment="0" applyProtection="0">
      <alignment vertical="center" wrapText="1"/>
    </xf>
    <xf numFmtId="0" fontId="10" fillId="2" borderId="0" applyNumberFormat="0" applyFill="0" applyBorder="0" applyAlignment="0" applyProtection="0">
      <alignment vertical="center" wrapText="1"/>
    </xf>
    <xf numFmtId="0" fontId="2" fillId="3" borderId="0" applyNumberFormat="0" applyBorder="0" applyAlignment="0" applyProtection="0"/>
    <xf numFmtId="0" fontId="11" fillId="0" borderId="0">
      <alignment vertical="center"/>
    </xf>
    <xf numFmtId="0" fontId="6" fillId="0" borderId="0" applyNumberFormat="0" applyFill="0" applyBorder="0" applyProtection="0">
      <alignment vertical="center"/>
    </xf>
    <xf numFmtId="0" fontId="28" fillId="0" borderId="0"/>
  </cellStyleXfs>
  <cellXfs count="68">
    <xf numFmtId="0" fontId="0" fillId="2" borderId="0" xfId="0">
      <alignment vertical="center" wrapText="1"/>
    </xf>
    <xf numFmtId="44" fontId="0" fillId="2" borderId="0" xfId="3" applyFont="1" applyFill="1" applyBorder="1" applyAlignment="1">
      <alignment vertical="center" wrapText="1"/>
    </xf>
    <xf numFmtId="0" fontId="0" fillId="2" borderId="0" xfId="12" applyFont="1">
      <alignment horizontal="center" vertical="center"/>
    </xf>
    <xf numFmtId="0" fontId="12" fillId="0" borderId="0" xfId="8">
      <alignment horizontal="left"/>
    </xf>
    <xf numFmtId="0" fontId="10" fillId="2" borderId="0" xfId="14">
      <alignment vertical="center" wrapText="1"/>
    </xf>
    <xf numFmtId="0" fontId="6" fillId="2" borderId="0" xfId="18" applyFill="1">
      <alignment vertical="center"/>
    </xf>
    <xf numFmtId="9" fontId="1" fillId="2" borderId="0" xfId="4" applyFont="1" applyFill="1">
      <alignment horizontal="left" vertical="center"/>
    </xf>
    <xf numFmtId="0" fontId="14" fillId="4" borderId="0" xfId="0" applyFont="1" applyFill="1" applyAlignment="1">
      <alignment horizontal="center" vertical="center" wrapText="1"/>
    </xf>
    <xf numFmtId="0" fontId="6" fillId="5" borderId="0" xfId="18" applyFill="1" applyAlignment="1">
      <alignment horizontal="right" vertical="center"/>
    </xf>
    <xf numFmtId="0" fontId="5" fillId="5" borderId="0" xfId="1" applyFill="1">
      <alignment horizontal="left" vertical="center"/>
    </xf>
    <xf numFmtId="0" fontId="0" fillId="5" borderId="0" xfId="0" applyFill="1">
      <alignment vertical="center" wrapText="1"/>
    </xf>
    <xf numFmtId="0" fontId="5" fillId="5" borderId="0" xfId="1" applyFill="1" applyAlignment="1">
      <alignment vertical="center"/>
    </xf>
    <xf numFmtId="0" fontId="0" fillId="5" borderId="0" xfId="13" applyFont="1" applyFill="1">
      <alignment horizontal="right" vertical="center"/>
    </xf>
    <xf numFmtId="7" fontId="0" fillId="5" borderId="0" xfId="11" applyFont="1" applyFill="1">
      <alignment horizontal="right" vertical="center"/>
    </xf>
    <xf numFmtId="9" fontId="1" fillId="5" borderId="0" xfId="4" applyFont="1" applyFill="1">
      <alignment horizontal="left" vertical="center"/>
    </xf>
    <xf numFmtId="7" fontId="13" fillId="5" borderId="1" xfId="7" applyNumberFormat="1" applyFont="1" applyFill="1">
      <alignment horizontal="right" vertical="center"/>
    </xf>
    <xf numFmtId="7" fontId="4" fillId="5" borderId="1" xfId="9" applyFill="1" applyAlignment="1">
      <alignment vertical="center" wrapText="1"/>
    </xf>
    <xf numFmtId="0" fontId="0" fillId="6" borderId="0" xfId="0" applyFill="1">
      <alignment vertical="center" wrapText="1"/>
    </xf>
    <xf numFmtId="0" fontId="0" fillId="5" borderId="0" xfId="18" applyFont="1" applyFill="1" applyAlignment="1">
      <alignment horizontal="right" vertical="center"/>
    </xf>
    <xf numFmtId="0" fontId="19" fillId="5" borderId="0" xfId="13" applyFont="1" applyFill="1">
      <alignment horizontal="right" vertical="center"/>
    </xf>
    <xf numFmtId="0" fontId="0" fillId="5" borderId="0" xfId="18" applyFont="1" applyFill="1" applyAlignment="1">
      <alignment horizontal="center" vertical="center"/>
    </xf>
    <xf numFmtId="9" fontId="1" fillId="5" borderId="0" xfId="4" applyFont="1" applyFill="1" applyAlignment="1">
      <alignment horizontal="center" vertical="center"/>
    </xf>
    <xf numFmtId="0" fontId="0" fillId="6" borderId="0" xfId="0" applyFill="1" applyAlignment="1">
      <alignment horizontal="center" vertical="center" wrapText="1"/>
    </xf>
    <xf numFmtId="0" fontId="1" fillId="7" borderId="3" xfId="0" applyFont="1" applyFill="1" applyBorder="1" applyAlignment="1">
      <alignment horizontal="center" vertical="center" wrapText="1"/>
    </xf>
    <xf numFmtId="0" fontId="0" fillId="2" borderId="0" xfId="0" applyAlignment="1">
      <alignment horizontal="center" vertical="center" wrapText="1"/>
    </xf>
    <xf numFmtId="0" fontId="23" fillId="5" borderId="0" xfId="13" applyFont="1" applyFill="1">
      <alignment horizontal="right" vertical="center"/>
    </xf>
    <xf numFmtId="0" fontId="24" fillId="5" borderId="0" xfId="13" applyFont="1" applyFill="1">
      <alignment horizontal="right" vertical="center"/>
    </xf>
    <xf numFmtId="7" fontId="23" fillId="5" borderId="0" xfId="11" applyFont="1" applyFill="1">
      <alignment horizontal="right" vertical="center"/>
    </xf>
    <xf numFmtId="0" fontId="23" fillId="5" borderId="0" xfId="0" applyFont="1" applyFill="1">
      <alignment vertical="center" wrapText="1"/>
    </xf>
    <xf numFmtId="0" fontId="23" fillId="5" borderId="0" xfId="13" applyFont="1" applyFill="1" applyAlignment="1">
      <alignment horizontal="right" vertical="center" wrapText="1"/>
    </xf>
    <xf numFmtId="9" fontId="22" fillId="5" borderId="0" xfId="4" applyFont="1" applyFill="1">
      <alignment horizontal="left" vertical="center"/>
    </xf>
    <xf numFmtId="0" fontId="16" fillId="8" borderId="0" xfId="5" applyFont="1" applyFill="1" applyAlignment="1">
      <alignment horizontal="center" vertical="center"/>
    </xf>
    <xf numFmtId="0" fontId="16" fillId="8" borderId="0" xfId="5" applyFont="1" applyFill="1" applyAlignment="1">
      <alignment horizontal="left" vertical="center"/>
    </xf>
    <xf numFmtId="0" fontId="18" fillId="8" borderId="0" xfId="17" applyFont="1" applyFill="1" applyAlignment="1">
      <alignment horizontal="left" vertical="center"/>
    </xf>
    <xf numFmtId="0" fontId="2" fillId="8" borderId="0" xfId="16" applyFill="1" applyAlignment="1">
      <alignment vertical="center" wrapText="1"/>
    </xf>
    <xf numFmtId="0" fontId="25" fillId="8" borderId="0" xfId="17" applyFont="1" applyFill="1" applyAlignment="1">
      <alignment horizontal="left" vertical="center"/>
    </xf>
    <xf numFmtId="0" fontId="20" fillId="0" borderId="2" xfId="2" applyFont="1" applyFill="1" applyBorder="1" applyAlignment="1">
      <alignment horizontal="center" vertical="center" wrapText="1"/>
    </xf>
    <xf numFmtId="0" fontId="13" fillId="0" borderId="2" xfId="2" applyFont="1" applyFill="1" applyBorder="1" applyAlignment="1">
      <alignment horizontal="center" vertical="center" wrapText="1"/>
    </xf>
    <xf numFmtId="0" fontId="20" fillId="0" borderId="2" xfId="2" applyFont="1" applyFill="1" applyBorder="1" applyAlignment="1">
      <alignment horizontal="left" vertical="center"/>
    </xf>
    <xf numFmtId="0" fontId="21" fillId="0" borderId="2" xfId="2" applyFont="1" applyFill="1" applyBorder="1" applyAlignment="1">
      <alignment horizontal="center" vertical="center" wrapText="1"/>
    </xf>
    <xf numFmtId="0" fontId="29" fillId="9" borderId="4" xfId="19" applyFont="1" applyFill="1" applyBorder="1" applyAlignment="1">
      <alignment horizontal="center" vertical="center" wrapText="1" justifyLastLine="1" shrinkToFit="1"/>
    </xf>
    <xf numFmtId="0" fontId="28" fillId="0" borderId="0" xfId="19" applyAlignment="1">
      <alignment horizontal="right" vertical="center" wrapText="1" indent="1" justifyLastLine="1" shrinkToFit="1"/>
    </xf>
    <xf numFmtId="0" fontId="28" fillId="0" borderId="0" xfId="19"/>
    <xf numFmtId="0" fontId="28" fillId="10" borderId="0" xfId="19" applyFill="1" applyAlignment="1">
      <alignment horizontal="right" vertical="top" wrapText="1"/>
    </xf>
    <xf numFmtId="0" fontId="28" fillId="11" borderId="0" xfId="19" applyFill="1" applyAlignment="1">
      <alignment horizontal="right" vertical="top" wrapText="1"/>
    </xf>
    <xf numFmtId="0" fontId="28" fillId="12" borderId="0" xfId="19" applyFill="1" applyAlignment="1">
      <alignment horizontal="right" vertical="top" wrapText="1"/>
    </xf>
    <xf numFmtId="0" fontId="1" fillId="7" borderId="5" xfId="0" applyFont="1" applyFill="1" applyBorder="1" applyAlignment="1">
      <alignment horizontal="center" vertical="center" wrapText="1"/>
    </xf>
    <xf numFmtId="0" fontId="22" fillId="7" borderId="5" xfId="0" applyFont="1" applyFill="1" applyBorder="1" applyAlignment="1">
      <alignment horizontal="left" vertical="center" wrapText="1"/>
    </xf>
    <xf numFmtId="0" fontId="22" fillId="7" borderId="5" xfId="0" applyFont="1" applyFill="1" applyBorder="1" applyAlignment="1">
      <alignment horizontal="left" vertical="center"/>
    </xf>
    <xf numFmtId="0" fontId="22" fillId="7" borderId="5" xfId="0" applyFont="1" applyFill="1" applyBorder="1">
      <alignment vertical="center" wrapText="1"/>
    </xf>
    <xf numFmtId="0" fontId="22" fillId="7" borderId="5" xfId="0" applyFont="1" applyFill="1" applyBorder="1" applyAlignment="1">
      <alignment horizontal="center" vertical="center" wrapText="1"/>
    </xf>
    <xf numFmtId="37" fontId="22" fillId="7" borderId="5" xfId="10" applyFont="1" applyFill="1" applyBorder="1" applyAlignment="1">
      <alignment horizontal="center" vertical="center"/>
    </xf>
    <xf numFmtId="0" fontId="10" fillId="7" borderId="5" xfId="14" applyFill="1" applyBorder="1">
      <alignment vertical="center" wrapText="1"/>
    </xf>
    <xf numFmtId="0" fontId="1" fillId="2" borderId="5" xfId="0" applyFont="1" applyBorder="1" applyAlignment="1">
      <alignment horizontal="center" vertical="center" wrapText="1"/>
    </xf>
    <xf numFmtId="0" fontId="22" fillId="2" borderId="5" xfId="0" applyFont="1" applyBorder="1">
      <alignment vertical="center" wrapText="1"/>
    </xf>
    <xf numFmtId="0" fontId="22" fillId="2" borderId="5" xfId="0" applyFont="1" applyBorder="1" applyAlignment="1">
      <alignment vertical="center"/>
    </xf>
    <xf numFmtId="0" fontId="22" fillId="2" borderId="5" xfId="0" applyFont="1" applyBorder="1" applyAlignment="1">
      <alignment horizontal="center" vertical="center" wrapText="1"/>
    </xf>
    <xf numFmtId="37" fontId="22" fillId="2" borderId="5" xfId="10" applyFont="1" applyFill="1" applyBorder="1" applyAlignment="1">
      <alignment horizontal="center" vertical="center"/>
    </xf>
    <xf numFmtId="0" fontId="10" fillId="2" borderId="5" xfId="14" applyBorder="1">
      <alignment vertical="center" wrapText="1"/>
    </xf>
    <xf numFmtId="0" fontId="22" fillId="7" borderId="5" xfId="0" applyFont="1" applyFill="1" applyBorder="1" applyAlignment="1">
      <alignment vertical="center"/>
    </xf>
    <xf numFmtId="0" fontId="10" fillId="7" borderId="5" xfId="14" applyFill="1" applyBorder="1" applyAlignment="1">
      <alignment vertical="center" wrapText="1"/>
    </xf>
    <xf numFmtId="0" fontId="22" fillId="7" borderId="3" xfId="0" applyFont="1" applyFill="1" applyBorder="1">
      <alignment vertical="center" wrapText="1"/>
    </xf>
    <xf numFmtId="0" fontId="22" fillId="7" borderId="3" xfId="0" applyFont="1" applyFill="1" applyBorder="1" applyAlignment="1">
      <alignment horizontal="center" vertical="center" wrapText="1"/>
    </xf>
    <xf numFmtId="37" fontId="22" fillId="7" borderId="3" xfId="10" applyFont="1" applyFill="1" applyBorder="1" applyAlignment="1">
      <alignment horizontal="center" vertical="center"/>
    </xf>
    <xf numFmtId="0" fontId="10" fillId="7" borderId="3" xfId="14" applyFill="1" applyBorder="1">
      <alignment vertical="center" wrapText="1"/>
    </xf>
    <xf numFmtId="0" fontId="10" fillId="0" borderId="0" xfId="14" applyFill="1" applyAlignment="1">
      <alignment horizontal="right" vertical="center" wrapText="1" indent="1" justifyLastLine="1" shrinkToFit="1"/>
    </xf>
    <xf numFmtId="0" fontId="31" fillId="0" borderId="2" xfId="2" applyFont="1" applyFill="1" applyBorder="1" applyAlignment="1">
      <alignment horizontal="center" vertical="center" wrapText="1"/>
    </xf>
    <xf numFmtId="0" fontId="30" fillId="2" borderId="3" xfId="0" applyFont="1" applyBorder="1" applyAlignment="1">
      <alignment horizontal="left" vertical="center" wrapText="1"/>
    </xf>
  </cellXfs>
  <cellStyles count="20">
    <cellStyle name="20% - 着色 4" xfId="16" builtinId="42"/>
    <cellStyle name="Budget labels" xfId="13" xr:uid="{00000000-0005-0000-0000-000001000000}"/>
    <cellStyle name="Done" xfId="12" xr:uid="{00000000-0005-0000-0000-000005000000}"/>
    <cellStyle name="Title 2" xfId="17" xr:uid="{00000000-0005-0000-0000-000010000000}"/>
    <cellStyle name="zHide text" xfId="6" xr:uid="{00000000-0005-0000-0000-000012000000}"/>
    <cellStyle name="千位分隔" xfId="10" builtinId="3" customBuiltin="1"/>
    <cellStyle name="已访问的超链接" xfId="15" builtinId="9" customBuiltin="1"/>
    <cellStyle name="常规" xfId="0" builtinId="0" customBuiltin="1"/>
    <cellStyle name="常规 2" xfId="19" xr:uid="{FE971702-C168-43EA-B5E5-9C8C44986D14}"/>
    <cellStyle name="标题" xfId="5" builtinId="15" customBuiltin="1"/>
    <cellStyle name="标题 1" xfId="1" builtinId="16" customBuiltin="1"/>
    <cellStyle name="标题 2" xfId="2" builtinId="17" customBuiltin="1"/>
    <cellStyle name="标题 3" xfId="7" builtinId="18" customBuiltin="1"/>
    <cellStyle name="标题 4" xfId="8" builtinId="19" customBuiltin="1"/>
    <cellStyle name="汇总" xfId="9" builtinId="25" customBuiltin="1"/>
    <cellStyle name="百分比" xfId="4" builtinId="5" customBuiltin="1"/>
    <cellStyle name="解释性文本" xfId="18" builtinId="53" customBuiltin="1"/>
    <cellStyle name="货币" xfId="3" builtinId="4" customBuiltin="1"/>
    <cellStyle name="货币[0]" xfId="11" builtinId="7" customBuiltin="1"/>
    <cellStyle name="超链接" xfId="14" builtinId="8" customBuiltin="1"/>
  </cellStyles>
  <dxfs count="14">
    <dxf>
      <font>
        <strike/>
        <color theme="2" tint="-0.24994659260841701"/>
      </font>
    </dxf>
    <dxf>
      <font>
        <color theme="0"/>
      </font>
    </dxf>
    <dxf>
      <font>
        <color theme="0"/>
      </font>
    </dxf>
    <dxf>
      <font>
        <color theme="0"/>
      </font>
    </dxf>
    <dxf>
      <font>
        <color theme="0"/>
      </font>
    </dxf>
    <dxf>
      <font>
        <color theme="0"/>
      </font>
    </dxf>
    <dxf>
      <font>
        <color theme="0"/>
      </font>
    </dxf>
    <dxf>
      <font>
        <color theme="0"/>
      </font>
    </dxf>
    <dxf>
      <font>
        <color theme="0"/>
      </font>
    </dxf>
    <dxf>
      <font>
        <color theme="4" tint="-0.24994659260841701"/>
      </font>
      <border>
        <bottom style="thin">
          <color theme="4"/>
        </bottom>
        <vertical/>
        <horizontal/>
      </border>
    </dxf>
    <dxf>
      <font>
        <color theme="4" tint="-0.24994659260841701"/>
      </font>
      <fill>
        <patternFill patternType="none">
          <bgColor auto="1"/>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4.9989318521683403E-2"/>
        </patternFill>
      </fill>
    </dxf>
    <dxf>
      <font>
        <b/>
        <i val="0"/>
      </font>
      <fill>
        <patternFill patternType="none">
          <bgColor auto="1"/>
        </patternFill>
      </fill>
      <border>
        <top/>
        <bottom style="thick">
          <color theme="2" tint="-0.499984740745262"/>
        </bottom>
      </border>
    </dxf>
    <dxf>
      <font>
        <b val="0"/>
        <i val="0"/>
        <color theme="1"/>
      </font>
      <border diagonalUp="0" diagonalDown="0">
        <left/>
        <right/>
        <top style="dotted">
          <color theme="2" tint="-0.499984740745262"/>
        </top>
        <bottom style="dotted">
          <color theme="2" tint="-0.499984740745262"/>
        </bottom>
        <vertical/>
        <horizontal style="dotted">
          <color theme="2" tint="-0.499984740745262"/>
        </horizontal>
      </border>
    </dxf>
  </dxfs>
  <tableStyles count="2" defaultTableStyle="College Checklist" defaultPivotStyle="PivotStyleLight16">
    <tableStyle name="College Checklist" pivot="0" count="3" xr9:uid="{00000000-0011-0000-FFFF-FFFF00000000}">
      <tableStyleElement type="wholeTable" dxfId="13"/>
      <tableStyleElement type="headerRow" dxfId="12"/>
      <tableStyleElement type="firstRowStripe" dxfId="11"/>
    </tableStyle>
    <tableStyle name="Shopping List" pivot="0" table="0" count="10" xr9:uid="{00000000-0011-0000-FFFF-FFFF01000000}">
      <tableStyleElement type="wholeTable" dxfId="10"/>
      <tableStyleElement type="headerRow" dxfId="9"/>
    </tableStyle>
  </tableStyles>
  <colors>
    <mruColors>
      <color rgb="FF0066FF"/>
      <color rgb="FFD8EFF1"/>
      <color rgb="FFEAEA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extLs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HealthReport!$L$25</c:f>
              <c:numCache>
                <c:formatCode>General</c:formatCode>
                <c:ptCount val="1"/>
              </c:numCache>
            </c:numRef>
          </c:cat>
          <c:val>
            <c:numRef>
              <c:f>HealthReport!$L$26</c:f>
              <c:numCache>
                <c:formatCode>General</c:formatCode>
                <c:ptCount val="1"/>
                <c:pt idx="0">
                  <c:v>0.52307692307692311</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General"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HealthReport!$D$15:$D$22</c:f>
              <c:numCache>
                <c:formatCode>General</c:formatCode>
                <c:ptCount val="8"/>
                <c:pt idx="0">
                  <c:v>3</c:v>
                </c:pt>
                <c:pt idx="1">
                  <c:v>5</c:v>
                </c:pt>
                <c:pt idx="2">
                  <c:v>1</c:v>
                </c:pt>
                <c:pt idx="3">
                  <c:v>0</c:v>
                </c:pt>
                <c:pt idx="4">
                  <c:v>0</c:v>
                </c:pt>
                <c:pt idx="5">
                  <c:v>0</c:v>
                </c:pt>
                <c:pt idx="6">
                  <c:v>0</c:v>
                </c:pt>
                <c:pt idx="7">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HealthReport!$E$15:$E$22</c:f>
              <c:numCache>
                <c:formatCode>General</c:formatCode>
                <c:ptCount val="8"/>
                <c:pt idx="0">
                  <c:v>5</c:v>
                </c:pt>
                <c:pt idx="1">
                  <c:v>5</c:v>
                </c:pt>
                <c:pt idx="2">
                  <c:v>0</c:v>
                </c:pt>
                <c:pt idx="3">
                  <c:v>0</c:v>
                </c:pt>
                <c:pt idx="4">
                  <c:v>0</c:v>
                </c:pt>
                <c:pt idx="5">
                  <c:v>0</c:v>
                </c:pt>
                <c:pt idx="6">
                  <c:v>0</c:v>
                </c:pt>
                <c:pt idx="7">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HealthReport!$F$15:$F$22</c:f>
              <c:numCache>
                <c:formatCode>General</c:formatCode>
                <c:ptCount val="8"/>
                <c:pt idx="0">
                  <c:v>1</c:v>
                </c:pt>
                <c:pt idx="1">
                  <c:v>5</c:v>
                </c:pt>
                <c:pt idx="2">
                  <c:v>0</c:v>
                </c:pt>
                <c:pt idx="3">
                  <c:v>0</c:v>
                </c:pt>
                <c:pt idx="4">
                  <c:v>0</c:v>
                </c:pt>
                <c:pt idx="5">
                  <c:v>0</c:v>
                </c:pt>
                <c:pt idx="6">
                  <c:v>0</c:v>
                </c:pt>
                <c:pt idx="7">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'Budget breakdown'!$C$3</c:f>
              <c:strCache>
                <c:ptCount val="1"/>
                <c:pt idx="0">
                  <c:v>Total cost</c:v>
                </c:pt>
              </c:strCache>
            </c:strRef>
          </c:tx>
          <c:spPr>
            <a:solidFill>
              <a:schemeClr val="bg2">
                <a:lumMod val="50000"/>
              </a:schemeClr>
            </a:solidFill>
            <a:ln w="19050">
              <a:solidFill>
                <a:schemeClr val="lt1"/>
              </a:solidFill>
            </a:ln>
            <a:effectLst/>
          </c:spPr>
          <c:invertIfNegative val="0"/>
          <c:cat>
            <c:strRef>
              <c:f>'Budget breakdown'!$B$4:$B$6</c:f>
              <c:strCache>
                <c:ptCount val="2"/>
                <c:pt idx="0">
                  <c:v>Clothes</c:v>
                </c:pt>
                <c:pt idx="1">
                  <c:v>Supplies</c:v>
                </c:pt>
              </c:strCache>
            </c:strRef>
          </c:cat>
          <c:val>
            <c:numRef>
              <c:f>'Budget breakdown'!$C$4:$C$6</c:f>
              <c:numCache>
                <c:formatCode>_("$"* #,##0.00_);_("$"* \(#,##0.00\);_("$"* "-"??_);_(@_)</c:formatCode>
                <c:ptCount val="2"/>
                <c:pt idx="0">
                  <c:v>0</c:v>
                </c:pt>
                <c:pt idx="1">
                  <c:v>0</c:v>
                </c:pt>
              </c:numCache>
            </c:numRef>
          </c:val>
          <c:extLst>
            <c:ext xmlns:c16="http://schemas.microsoft.com/office/drawing/2014/chart" uri="{C3380CC4-5D6E-409C-BE32-E72D297353CC}">
              <c16:uniqueId val="{00000000-4A74-4B9B-9E4A-3D848F9EE7F8}"/>
            </c:ext>
          </c:extLst>
        </c:ser>
        <c:dLbls>
          <c:showLegendKey val="0"/>
          <c:showVal val="0"/>
          <c:showCatName val="0"/>
          <c:showSerName val="0"/>
          <c:showPercent val="0"/>
          <c:showBubbleSize val="0"/>
        </c:dLbls>
        <c:gapWidth val="132"/>
        <c:axId val="600852032"/>
        <c:axId val="600851048"/>
      </c:barChart>
      <c:catAx>
        <c:axId val="6008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zh-CN"/>
          </a:p>
        </c:txPr>
        <c:crossAx val="600851048"/>
        <c:crosses val="autoZero"/>
        <c:auto val="1"/>
        <c:lblAlgn val="ctr"/>
        <c:lblOffset val="100"/>
        <c:noMultiLvlLbl val="0"/>
      </c:catAx>
      <c:valAx>
        <c:axId val="60085104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zh-CN"/>
          </a:p>
        </c:txPr>
        <c:crossAx val="60085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zh-CN"/>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9</xdr:col>
      <xdr:colOff>40239</xdr:colOff>
      <xdr:row>0</xdr:row>
      <xdr:rowOff>162145</xdr:rowOff>
    </xdr:from>
    <xdr:to>
      <xdr:col>10</xdr:col>
      <xdr:colOff>1227795</xdr:colOff>
      <xdr:row>0</xdr:row>
      <xdr:rowOff>834610</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93489" y="162145"/>
          <a:ext cx="1972070" cy="672465"/>
        </a:xfrm>
        <a:prstGeom prst="rect">
          <a:avLst/>
        </a:prstGeom>
      </xdr:spPr>
    </xdr:pic>
    <xdr:clientData/>
  </xdr:twoCellAnchor>
  <xdr:twoCellAnchor editAs="oneCell">
    <xdr:from>
      <xdr:col>6</xdr:col>
      <xdr:colOff>935687</xdr:colOff>
      <xdr:row>12</xdr:row>
      <xdr:rowOff>354806</xdr:rowOff>
    </xdr:from>
    <xdr:to>
      <xdr:col>10</xdr:col>
      <xdr:colOff>1199283</xdr:colOff>
      <xdr:row>15</xdr:row>
      <xdr:rowOff>11906</xdr:rowOff>
    </xdr:to>
    <xdr:graphicFrame macro="">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22</xdr:row>
      <xdr:rowOff>159768</xdr:rowOff>
    </xdr:to>
    <xdr:graphicFrame macro="">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xdr:colOff>
      <xdr:row>3</xdr:row>
      <xdr:rowOff>57150</xdr:rowOff>
    </xdr:from>
    <xdr:to>
      <xdr:col>4</xdr:col>
      <xdr:colOff>5048250</xdr:colOff>
      <xdr:row>12</xdr:row>
      <xdr:rowOff>371476</xdr:rowOff>
    </xdr:to>
    <xdr:graphicFrame macro="">
      <xdr:nvGraphicFramePr>
        <xdr:cNvPr id="2" name="Chart 1" descr="Clustered column chart of categories and total cost breakdown">
          <a:extLst>
            <a:ext uri="{FF2B5EF4-FFF2-40B4-BE49-F238E27FC236}">
              <a16:creationId xmlns:a16="http://schemas.microsoft.com/office/drawing/2014/main" id="{F0DF209F-E5F6-434D-9B6E-E899CF848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3543300</xdr:colOff>
      <xdr:row>0</xdr:row>
      <xdr:rowOff>297180</xdr:rowOff>
    </xdr:from>
    <xdr:to>
      <xdr:col>6</xdr:col>
      <xdr:colOff>350520</xdr:colOff>
      <xdr:row>2</xdr:row>
      <xdr:rowOff>106680</xdr:rowOff>
    </xdr:to>
    <xdr:pic>
      <xdr:nvPicPr>
        <xdr:cNvPr id="5" name="Picture 4" descr="Share">
          <a:extLst>
            <a:ext uri="{FF2B5EF4-FFF2-40B4-BE49-F238E27FC236}">
              <a16:creationId xmlns:a16="http://schemas.microsoft.com/office/drawing/2014/main" id="{C2147919-D16B-401F-B978-D0D962C219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59040" y="297180"/>
          <a:ext cx="838200" cy="822960"/>
        </a:xfrm>
        <a:prstGeom prst="rect">
          <a:avLst/>
        </a:prstGeom>
      </xdr:spPr>
    </xdr:pic>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egory" displayName="Category" ref="B3:C6" totalsRowShown="0">
  <autoFilter ref="B3:C6" xr:uid="{00000000-0009-0000-0100-000002000000}">
    <filterColumn colId="0">
      <filters>
        <filter val="Clothes"/>
        <filter val="Supplies"/>
      </filters>
    </filterColumn>
  </autoFilter>
  <sortState xmlns:xlrd2="http://schemas.microsoft.com/office/spreadsheetml/2017/richdata2" ref="B4:C6">
    <sortCondition ref="B3:B6"/>
  </sortState>
  <tableColumns count="2">
    <tableColumn id="1" xr3:uid="{00000000-0010-0000-0100-000001000000}" name="Category"/>
    <tableColumn id="2" xr3:uid="{00000000-0010-0000-0100-000002000000}" name="Total cost">
      <calculatedColumnFormula>IFERROR(SUMIFS(#REF!,HealthReport!$D$27:$D$39,Category[[#This Row],[Category]]), "")</calculatedColumnFormula>
    </tableColumn>
  </tableColumns>
  <tableStyleInfo name="College Checklist" showFirstColumn="0" showLastColumn="0" showRowStripes="1" showColumnStripes="0"/>
  <extLst>
    <ext xmlns:x14="http://schemas.microsoft.com/office/spreadsheetml/2009/9/main" uri="{504A1905-F514-4f6f-8877-14C23A59335A}">
      <x14:table altTextSummary="Enter Category items in this table. Total is automatically updated"/>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oDoList" displayName="ToDoList" ref="B3:C22" totalsRowShown="0">
  <autoFilter ref="B3:C22" xr:uid="{00000000-0009-0000-0100-000004000000}"/>
  <tableColumns count="2">
    <tableColumn id="1" xr3:uid="{00000000-0010-0000-0200-000001000000}" name="Done" dataCellStyle="Done"/>
    <tableColumn id="2" xr3:uid="{00000000-0010-0000-0200-000002000000}" name="Task"/>
  </tableColumns>
  <tableStyleInfo name="College Checklist" showFirstColumn="0" showLastColumn="0" showRowStripes="1" showColumnStripes="0"/>
  <extLst>
    <ext xmlns:x14="http://schemas.microsoft.com/office/spreadsheetml/2009/9/main" uri="{504A1905-F514-4f6f-8877-14C23A59335A}">
      <x14:table altTextSummary="Enter Task description in this table. For completed tasks, enter ‘X’ or ‘x’ in Done column which is automatically updated with strikethrough formatting"/>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hareList" displayName="ShareList" ref="B2:D5" totalsRowShown="0">
  <autoFilter ref="B2:D5" xr:uid="{00000000-0009-0000-0100-000003000000}"/>
  <sortState xmlns:xlrd2="http://schemas.microsoft.com/office/spreadsheetml/2017/richdata2" ref="B3:C5">
    <sortCondition ref="B2:B5"/>
  </sortState>
  <tableColumns count="3">
    <tableColumn id="1" xr3:uid="{00000000-0010-0000-0300-000001000000}" name="Name"/>
    <tableColumn id="2" xr3:uid="{00000000-0010-0000-0300-000002000000}" name="Email"/>
    <tableColumn id="3" xr3:uid="{00000000-0010-0000-0300-000003000000}" name="Shared?"/>
  </tableColumns>
  <tableStyleInfo name="College Checklist" showFirstColumn="0" showLastColumn="0" showRowStripes="1" showColumnStripes="0"/>
  <extLst>
    <ext xmlns:x14="http://schemas.microsoft.com/office/spreadsheetml/2009/9/main" uri="{504A1905-F514-4f6f-8877-14C23A59335A}">
      <x14:table altTextSummary="Enter Name, Email and Yes or No to indicate workbook sharing"/>
    </ext>
  </extLst>
</table>
</file>

<file path=xl/theme/theme1.xml><?xml version="1.0" encoding="utf-8"?>
<a:theme xmlns:a="http://schemas.openxmlformats.org/drawingml/2006/main"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robert@example.com" TargetMode="External"/><Relationship Id="rId1" Type="http://schemas.openxmlformats.org/officeDocument/2006/relationships/hyperlink" Target="mailto:nikola@example.com" TargetMode="External"/><Relationship Id="rId5" Type="http://schemas.openxmlformats.org/officeDocument/2006/relationships/table" Target="../tables/table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autoPageBreaks="0" fitToPage="1"/>
  </sheetPr>
  <dimension ref="B1:P40"/>
  <sheetViews>
    <sheetView showGridLines="0" tabSelected="1" topLeftCell="A24" zoomScaleNormal="100" zoomScaleSheetLayoutView="100" workbookViewId="0">
      <selection activeCell="I32" sqref="I32"/>
    </sheetView>
  </sheetViews>
  <sheetFormatPr defaultRowHeight="30" customHeight="1" x14ac:dyDescent="0.25"/>
  <cols>
    <col min="1" max="1" width="11.625" customWidth="1"/>
    <col min="2" max="2" width="5.25" style="24" customWidth="1"/>
    <col min="3" max="3" width="15.375" customWidth="1"/>
    <col min="4" max="4" width="12.5" customWidth="1"/>
    <col min="5" max="5" width="6.875" customWidth="1"/>
    <col min="6" max="6" width="8.5" customWidth="1"/>
    <col min="7" max="7" width="13.875" customWidth="1"/>
    <col min="8" max="8" width="15.5" customWidth="1"/>
    <col min="9" max="9" width="12.5" customWidth="1"/>
    <col min="10" max="10" width="10.375" customWidth="1"/>
    <col min="11" max="11" width="16.25" customWidth="1"/>
    <col min="12" max="12" width="6.5" customWidth="1"/>
    <col min="13" max="13" width="5.5" customWidth="1"/>
  </cols>
  <sheetData>
    <row r="1" spans="2:16" ht="73.5" customHeight="1" x14ac:dyDescent="0.25">
      <c r="B1" s="31"/>
      <c r="C1" s="32" t="s">
        <v>42</v>
      </c>
      <c r="D1" s="32"/>
      <c r="E1" s="32"/>
      <c r="F1" s="33"/>
      <c r="G1" s="35" t="s">
        <v>85</v>
      </c>
      <c r="H1" s="33"/>
      <c r="I1" s="33"/>
      <c r="J1" s="33"/>
      <c r="K1" s="34"/>
      <c r="L1" s="34"/>
    </row>
    <row r="2" spans="2:16" ht="27.6" customHeight="1" x14ac:dyDescent="0.25">
      <c r="B2" s="20"/>
      <c r="C2" s="18"/>
      <c r="D2" s="8"/>
      <c r="E2" s="8"/>
      <c r="F2" s="8"/>
      <c r="G2" s="8"/>
      <c r="H2" s="8"/>
      <c r="I2" s="8"/>
      <c r="J2" s="8"/>
      <c r="K2" s="8"/>
      <c r="L2" s="8"/>
    </row>
    <row r="3" spans="2:16" ht="30" customHeight="1" x14ac:dyDescent="0.25">
      <c r="B3" s="20"/>
      <c r="C3" s="9" t="s">
        <v>43</v>
      </c>
      <c r="D3" s="11"/>
      <c r="E3" s="9"/>
      <c r="F3" s="9"/>
      <c r="G3" s="10"/>
      <c r="H3" s="11" t="s">
        <v>44</v>
      </c>
      <c r="I3" s="11"/>
      <c r="J3" s="11"/>
      <c r="K3" s="11"/>
      <c r="L3" s="10"/>
    </row>
    <row r="4" spans="2:16" ht="16.5" x14ac:dyDescent="0.25">
      <c r="B4" s="20"/>
      <c r="C4" s="25" t="s">
        <v>45</v>
      </c>
      <c r="D4" s="27"/>
      <c r="E4" s="27"/>
      <c r="F4" s="27" t="s">
        <v>49</v>
      </c>
      <c r="G4" s="28"/>
      <c r="H4" s="29" t="s">
        <v>72</v>
      </c>
      <c r="I4" s="29"/>
      <c r="J4" s="25"/>
      <c r="K4" s="25" t="s">
        <v>59</v>
      </c>
      <c r="L4" s="14"/>
    </row>
    <row r="5" spans="2:16" ht="16.5" x14ac:dyDescent="0.25">
      <c r="B5" s="20"/>
      <c r="C5" s="25" t="s">
        <v>46</v>
      </c>
      <c r="D5" s="27"/>
      <c r="E5" s="27"/>
      <c r="F5" s="27" t="s">
        <v>50</v>
      </c>
      <c r="G5" s="28"/>
      <c r="H5" s="25" t="s">
        <v>60</v>
      </c>
      <c r="I5" s="25"/>
      <c r="J5" s="29"/>
      <c r="K5" s="25" t="s">
        <v>73</v>
      </c>
      <c r="L5" s="14"/>
    </row>
    <row r="6" spans="2:16" ht="30" customHeight="1" x14ac:dyDescent="0.25">
      <c r="B6" s="20"/>
      <c r="C6" s="25" t="s">
        <v>47</v>
      </c>
      <c r="D6" s="25"/>
      <c r="E6" s="25"/>
      <c r="F6" s="25" t="s">
        <v>51</v>
      </c>
      <c r="G6" s="28"/>
      <c r="H6" s="25" t="s">
        <v>61</v>
      </c>
      <c r="I6" s="25"/>
      <c r="J6" s="25"/>
      <c r="K6" s="25" t="s">
        <v>62</v>
      </c>
      <c r="L6" s="14"/>
    </row>
    <row r="7" spans="2:16" ht="26.25" customHeight="1" x14ac:dyDescent="0.25">
      <c r="B7" s="20"/>
      <c r="C7" s="25" t="s">
        <v>48</v>
      </c>
      <c r="D7" s="29"/>
      <c r="E7" s="25"/>
      <c r="F7" s="25" t="s">
        <v>52</v>
      </c>
      <c r="G7" s="28"/>
      <c r="H7" s="25" t="s">
        <v>63</v>
      </c>
      <c r="I7" s="25"/>
      <c r="J7" s="25"/>
      <c r="K7" s="25" t="s">
        <v>74</v>
      </c>
      <c r="L7" s="14"/>
      <c r="P7" s="6">
        <f>IFERROR(COUNTIFS(HealthReport!$H$27:$H$39,"&gt;0",HealthReport!$L$27:$L$39,"&gt;0")/SumItemsToBuy,0)</f>
        <v>0</v>
      </c>
    </row>
    <row r="8" spans="2:16" ht="30" customHeight="1" x14ac:dyDescent="0.25">
      <c r="B8" s="20"/>
      <c r="C8" s="25" t="s">
        <v>53</v>
      </c>
      <c r="D8" s="25"/>
      <c r="E8" s="25"/>
      <c r="F8" s="25" t="s">
        <v>54</v>
      </c>
      <c r="G8" s="30"/>
      <c r="H8" s="25" t="s">
        <v>64</v>
      </c>
      <c r="I8" s="25"/>
      <c r="J8" s="25"/>
      <c r="K8" s="25" t="s">
        <v>65</v>
      </c>
      <c r="L8" s="14"/>
    </row>
    <row r="9" spans="2:16" ht="30" customHeight="1" x14ac:dyDescent="0.25">
      <c r="B9" s="20"/>
      <c r="C9" s="25" t="s">
        <v>55</v>
      </c>
      <c r="D9" s="25"/>
      <c r="E9" s="25"/>
      <c r="F9" s="25" t="s">
        <v>56</v>
      </c>
      <c r="G9" s="30"/>
      <c r="H9" s="25" t="s">
        <v>70</v>
      </c>
      <c r="I9" s="25"/>
      <c r="J9" s="25"/>
      <c r="K9" s="25" t="s">
        <v>71</v>
      </c>
      <c r="L9" s="14"/>
    </row>
    <row r="10" spans="2:16" ht="30" customHeight="1" x14ac:dyDescent="0.25">
      <c r="B10" s="20"/>
      <c r="C10" s="25" t="s">
        <v>57</v>
      </c>
      <c r="D10" s="25"/>
      <c r="E10" s="25"/>
      <c r="F10" s="25" t="s">
        <v>58</v>
      </c>
      <c r="G10" s="30"/>
      <c r="H10" s="25" t="s">
        <v>66</v>
      </c>
      <c r="I10" s="25"/>
      <c r="J10" s="25"/>
      <c r="K10" s="25" t="s">
        <v>67</v>
      </c>
      <c r="L10" s="14"/>
    </row>
    <row r="11" spans="2:16" ht="30" customHeight="1" thickBot="1" x14ac:dyDescent="0.3">
      <c r="B11" s="20"/>
      <c r="C11" s="25"/>
      <c r="D11" s="25"/>
      <c r="E11" s="25"/>
      <c r="F11" s="25"/>
      <c r="G11" s="30"/>
      <c r="H11" s="25" t="s">
        <v>68</v>
      </c>
      <c r="I11" s="25"/>
      <c r="J11" s="25"/>
      <c r="K11" s="25" t="s">
        <v>69</v>
      </c>
      <c r="L11" s="14"/>
    </row>
    <row r="12" spans="2:16" ht="30" customHeight="1" thickTop="1" x14ac:dyDescent="0.25">
      <c r="B12" s="21"/>
      <c r="C12" s="15"/>
      <c r="D12" s="16"/>
      <c r="E12" s="16"/>
      <c r="F12" s="16"/>
      <c r="G12" s="14"/>
      <c r="H12" s="15"/>
      <c r="I12" s="15"/>
      <c r="J12" s="16"/>
      <c r="K12" s="16"/>
      <c r="L12" s="14"/>
    </row>
    <row r="13" spans="2:16" ht="30" customHeight="1" x14ac:dyDescent="0.25">
      <c r="B13" s="21"/>
      <c r="C13" s="11" t="s">
        <v>75</v>
      </c>
      <c r="D13" s="11"/>
      <c r="E13" s="9"/>
      <c r="F13" s="9"/>
      <c r="G13" s="14"/>
      <c r="H13" s="11" t="str">
        <f>"Health status ("&amp;COUNTIFS(HealthReport!$L$27:$L$39, "&gt;0")&amp;" of "&amp;COUNTIFS(HealthReport!$H$27:$H$39, "&gt;0")&amp;")"</f>
        <v>Health status (0 of 0)</v>
      </c>
      <c r="I13" s="14"/>
      <c r="J13" s="14"/>
      <c r="K13" s="14"/>
      <c r="L13" s="14"/>
    </row>
    <row r="14" spans="2:16" ht="30" customHeight="1" x14ac:dyDescent="0.25">
      <c r="B14" s="21"/>
      <c r="C14" s="14"/>
      <c r="D14" s="26" t="s">
        <v>82</v>
      </c>
      <c r="E14" s="26" t="s">
        <v>115</v>
      </c>
      <c r="F14" s="26" t="s">
        <v>83</v>
      </c>
      <c r="G14" s="14"/>
      <c r="H14" s="14"/>
      <c r="I14" s="14"/>
      <c r="J14" s="14"/>
      <c r="K14" s="14"/>
      <c r="L14" s="14"/>
    </row>
    <row r="15" spans="2:16" ht="30" customHeight="1" x14ac:dyDescent="0.25">
      <c r="B15" s="21"/>
      <c r="C15" s="25" t="s">
        <v>84</v>
      </c>
      <c r="D15" s="12">
        <v>3</v>
      </c>
      <c r="E15" s="12">
        <v>5</v>
      </c>
      <c r="F15" s="12">
        <v>1</v>
      </c>
      <c r="G15" s="14"/>
      <c r="H15" s="14"/>
      <c r="I15" s="14"/>
      <c r="J15" s="14"/>
      <c r="K15" s="14"/>
      <c r="L15" s="14"/>
    </row>
    <row r="16" spans="2:16" ht="30" customHeight="1" x14ac:dyDescent="0.25">
      <c r="B16" s="21"/>
      <c r="C16" s="25" t="s">
        <v>77</v>
      </c>
      <c r="D16" s="12">
        <v>5</v>
      </c>
      <c r="E16" s="12">
        <v>5</v>
      </c>
      <c r="F16" s="12">
        <v>5</v>
      </c>
      <c r="G16" s="14"/>
      <c r="H16" s="14"/>
      <c r="I16" s="14"/>
      <c r="J16" s="14"/>
      <c r="K16" s="14"/>
      <c r="L16" s="14"/>
    </row>
    <row r="17" spans="2:12" ht="30" customHeight="1" x14ac:dyDescent="0.25">
      <c r="B17" s="21"/>
      <c r="C17" s="25" t="s">
        <v>76</v>
      </c>
      <c r="D17" s="12">
        <v>1</v>
      </c>
      <c r="E17" s="12">
        <v>0</v>
      </c>
      <c r="F17" s="12">
        <v>0</v>
      </c>
      <c r="G17" s="14"/>
      <c r="H17" s="14"/>
      <c r="I17" s="11"/>
      <c r="J17" s="14"/>
      <c r="K17" s="14"/>
      <c r="L17" s="14"/>
    </row>
    <row r="18" spans="2:12" ht="30" customHeight="1" x14ac:dyDescent="0.25">
      <c r="B18" s="21"/>
      <c r="C18" s="25" t="s">
        <v>96</v>
      </c>
      <c r="D18" s="12">
        <v>0</v>
      </c>
      <c r="E18" s="12">
        <v>0</v>
      </c>
      <c r="F18" s="12">
        <v>0</v>
      </c>
      <c r="G18" s="14"/>
      <c r="H18" s="14"/>
      <c r="I18" s="14"/>
      <c r="J18" s="14"/>
      <c r="K18" s="14"/>
      <c r="L18" s="14"/>
    </row>
    <row r="19" spans="2:12" ht="30" customHeight="1" x14ac:dyDescent="0.25">
      <c r="B19" s="21"/>
      <c r="C19" s="25" t="s">
        <v>78</v>
      </c>
      <c r="D19" s="12">
        <v>0</v>
      </c>
      <c r="E19" s="12">
        <v>0</v>
      </c>
      <c r="F19" s="12">
        <v>0</v>
      </c>
      <c r="G19" s="14"/>
      <c r="H19" s="14"/>
      <c r="I19" s="14"/>
      <c r="J19" s="14"/>
      <c r="K19" s="14"/>
      <c r="L19" s="14"/>
    </row>
    <row r="20" spans="2:12" ht="30" customHeight="1" x14ac:dyDescent="0.25">
      <c r="B20" s="21"/>
      <c r="C20" s="25" t="s">
        <v>79</v>
      </c>
      <c r="D20" s="12">
        <v>0</v>
      </c>
      <c r="E20" s="12">
        <v>0</v>
      </c>
      <c r="F20" s="12">
        <v>0</v>
      </c>
      <c r="G20" s="10"/>
      <c r="H20" s="14"/>
      <c r="I20" s="14"/>
      <c r="J20" s="14"/>
      <c r="K20" s="14"/>
      <c r="L20" s="14"/>
    </row>
    <row r="21" spans="2:12" ht="30" customHeight="1" x14ac:dyDescent="0.25">
      <c r="B21" s="21"/>
      <c r="C21" s="25" t="s">
        <v>80</v>
      </c>
      <c r="D21" s="12">
        <v>0</v>
      </c>
      <c r="E21" s="12">
        <v>0</v>
      </c>
      <c r="F21" s="12">
        <v>0</v>
      </c>
      <c r="G21" s="10"/>
      <c r="H21" s="14"/>
      <c r="I21" s="14"/>
      <c r="J21" s="14"/>
      <c r="K21" s="14"/>
      <c r="L21" s="14"/>
    </row>
    <row r="22" spans="2:12" ht="30" customHeight="1" x14ac:dyDescent="0.25">
      <c r="B22" s="21"/>
      <c r="C22" s="25" t="s">
        <v>81</v>
      </c>
      <c r="D22" s="12">
        <v>0</v>
      </c>
      <c r="E22" s="12">
        <v>0</v>
      </c>
      <c r="F22" s="12">
        <v>0</v>
      </c>
      <c r="G22" s="10"/>
      <c r="H22" s="14"/>
      <c r="I22" s="14"/>
      <c r="J22" s="14"/>
      <c r="K22" s="14"/>
      <c r="L22" s="14"/>
    </row>
    <row r="23" spans="2:12" ht="30" customHeight="1" thickBot="1" x14ac:dyDescent="0.3">
      <c r="B23" s="21"/>
      <c r="C23" s="19"/>
      <c r="D23" s="13"/>
      <c r="E23" s="13"/>
      <c r="F23" s="13"/>
      <c r="G23" s="10"/>
      <c r="H23" s="14"/>
      <c r="I23" s="14"/>
      <c r="J23" s="14"/>
      <c r="K23" s="14"/>
      <c r="L23" s="14"/>
    </row>
    <row r="24" spans="2:12" ht="30" customHeight="1" thickTop="1" x14ac:dyDescent="0.25">
      <c r="B24" s="21"/>
      <c r="C24" s="15"/>
      <c r="D24" s="16"/>
      <c r="E24" s="16"/>
      <c r="F24" s="16"/>
      <c r="G24" s="10"/>
      <c r="H24" s="14"/>
      <c r="I24" s="14"/>
      <c r="J24" s="14"/>
      <c r="K24" s="14"/>
      <c r="L24" s="14"/>
    </row>
    <row r="25" spans="2:12" ht="35.1" customHeight="1" x14ac:dyDescent="0.25">
      <c r="B25" s="22"/>
      <c r="C25" s="11" t="s">
        <v>86</v>
      </c>
      <c r="D25" s="17"/>
      <c r="E25" s="17"/>
      <c r="F25" s="17"/>
      <c r="G25" s="17"/>
      <c r="H25" s="17"/>
      <c r="I25" s="17"/>
      <c r="J25" s="17"/>
      <c r="K25" s="17"/>
      <c r="L25" s="17"/>
    </row>
    <row r="26" spans="2:12" ht="24.95" customHeight="1" thickBot="1" x14ac:dyDescent="0.3">
      <c r="B26" s="37" t="s">
        <v>87</v>
      </c>
      <c r="C26" s="36" t="s">
        <v>89</v>
      </c>
      <c r="D26" s="36" t="s">
        <v>95</v>
      </c>
      <c r="E26" s="36"/>
      <c r="F26" s="36" t="s">
        <v>97</v>
      </c>
      <c r="G26" s="36" t="s">
        <v>111</v>
      </c>
      <c r="H26" s="38" t="s">
        <v>88</v>
      </c>
      <c r="I26" s="37"/>
      <c r="J26" s="37"/>
      <c r="K26" s="39"/>
      <c r="L26" s="66">
        <f>SUM(HealthReport!$F$27:$F$39)/130</f>
        <v>0.52307692307692311</v>
      </c>
    </row>
    <row r="27" spans="2:12" ht="30" customHeight="1" thickTop="1" x14ac:dyDescent="0.25">
      <c r="B27" s="46">
        <v>1</v>
      </c>
      <c r="C27" s="47" t="s">
        <v>98</v>
      </c>
      <c r="D27" s="48" t="s">
        <v>112</v>
      </c>
      <c r="E27" s="49"/>
      <c r="F27" s="50">
        <v>10</v>
      </c>
      <c r="G27" s="51" t="str" cm="1">
        <f t="array" ref="G27">_xlfn.IFS(HealthReport!$F27&gt;=10,"PASS",HealthReport!$F27=8,"轻微",HealthReport!$F27=5,"普通",HealthReport!$F27=0,"重要")</f>
        <v>PASS</v>
      </c>
      <c r="H27" s="49"/>
      <c r="I27" s="49"/>
      <c r="J27" s="49"/>
      <c r="K27" s="52"/>
      <c r="L27" s="52"/>
    </row>
    <row r="28" spans="2:12" ht="30" customHeight="1" x14ac:dyDescent="0.25">
      <c r="B28" s="53">
        <v>2</v>
      </c>
      <c r="C28" s="54" t="s">
        <v>90</v>
      </c>
      <c r="D28" s="55" t="s">
        <v>99</v>
      </c>
      <c r="E28" s="54"/>
      <c r="F28" s="56">
        <v>10</v>
      </c>
      <c r="G28" s="57" t="str" cm="1">
        <f t="array" ref="G28">_xlfn.IFS(HealthReport!$F28&gt;=10,"PASS",HealthReport!$F28=8,"轻微",HealthReport!$F28=5,"普通",HealthReport!$F28=0,"重要")</f>
        <v>PASS</v>
      </c>
      <c r="H28" s="54"/>
      <c r="I28" s="54"/>
      <c r="J28" s="54"/>
      <c r="K28" s="58"/>
      <c r="L28" s="58"/>
    </row>
    <row r="29" spans="2:12" ht="30" customHeight="1" x14ac:dyDescent="0.25">
      <c r="B29" s="46">
        <v>3</v>
      </c>
      <c r="C29" s="49" t="s">
        <v>90</v>
      </c>
      <c r="D29" s="59" t="s">
        <v>113</v>
      </c>
      <c r="E29" s="49"/>
      <c r="F29" s="50">
        <v>10</v>
      </c>
      <c r="G29" s="51" t="str" cm="1">
        <f t="array" ref="G29">_xlfn.IFS(HealthReport!$F29&gt;=10,"PASS",HealthReport!$F29=8,"轻微",HealthReport!$F29=5,"普通",HealthReport!$F29=0,"重要")</f>
        <v>PASS</v>
      </c>
      <c r="H29" s="49"/>
      <c r="I29" s="49"/>
      <c r="J29" s="49"/>
      <c r="K29" s="52"/>
      <c r="L29" s="52"/>
    </row>
    <row r="30" spans="2:12" ht="30" customHeight="1" x14ac:dyDescent="0.25">
      <c r="B30" s="53">
        <v>4</v>
      </c>
      <c r="C30" s="54" t="s">
        <v>90</v>
      </c>
      <c r="D30" s="55" t="s">
        <v>101</v>
      </c>
      <c r="E30" s="54"/>
      <c r="F30" s="56">
        <v>5</v>
      </c>
      <c r="G30" s="57" t="str" cm="1">
        <f t="array" ref="G30">_xlfn.IFS(HealthReport!$F30&gt;=10,"PASS",HealthReport!$F30=8,"轻微",HealthReport!$F30=5,"普通",HealthReport!$F30=0,"重要")</f>
        <v>普通</v>
      </c>
      <c r="H30" s="67" t="s">
        <v>181</v>
      </c>
      <c r="I30" s="67"/>
      <c r="J30" s="67"/>
      <c r="K30" s="67"/>
      <c r="L30" s="58" t="str">
        <f>HYPERLINK("#OS!B5","Detail")</f>
        <v>Detail</v>
      </c>
    </row>
    <row r="31" spans="2:12" ht="30" customHeight="1" x14ac:dyDescent="0.25">
      <c r="B31" s="46">
        <v>5</v>
      </c>
      <c r="C31" s="49" t="s">
        <v>90</v>
      </c>
      <c r="D31" s="59" t="s">
        <v>103</v>
      </c>
      <c r="E31" s="49"/>
      <c r="F31" s="50">
        <v>10</v>
      </c>
      <c r="G31" s="51" t="str" cm="1">
        <f t="array" ref="G31">_xlfn.IFS(HealthReport!$F31&gt;=10,"PASS",HealthReport!$F31=8,"轻微",HealthReport!$F31=5,"普通",HealthReport!$F31=0,"重要")</f>
        <v>PASS</v>
      </c>
      <c r="H31" s="49"/>
      <c r="I31" s="49"/>
      <c r="J31" s="49"/>
      <c r="K31" s="60"/>
      <c r="L31" s="52" t="str">
        <f t="shared" ref="L31:L39" si="0">HYPERLINK("#OS!A1","Detail")</f>
        <v>Detail</v>
      </c>
    </row>
    <row r="32" spans="2:12" ht="30" customHeight="1" x14ac:dyDescent="0.25">
      <c r="B32" s="53">
        <v>6</v>
      </c>
      <c r="C32" s="54" t="s">
        <v>90</v>
      </c>
      <c r="D32" s="55" t="s">
        <v>104</v>
      </c>
      <c r="E32" s="54"/>
      <c r="F32" s="56">
        <v>10</v>
      </c>
      <c r="G32" s="57" t="str" cm="1">
        <f t="array" ref="G32">_xlfn.IFS(HealthReport!$F32&gt;=10,"PASS",HealthReport!$F32=8,"轻微",HealthReport!$F32=5,"普通",HealthReport!$F32=0,"重要")</f>
        <v>PASS</v>
      </c>
      <c r="H32" s="54"/>
      <c r="I32" s="54"/>
      <c r="J32" s="54"/>
      <c r="K32" s="58"/>
      <c r="L32" s="58" t="str">
        <f t="shared" si="0"/>
        <v>Detail</v>
      </c>
    </row>
    <row r="33" spans="2:12" ht="30" customHeight="1" x14ac:dyDescent="0.25">
      <c r="B33" s="46">
        <v>7</v>
      </c>
      <c r="C33" s="49" t="s">
        <v>91</v>
      </c>
      <c r="D33" s="59" t="s">
        <v>105</v>
      </c>
      <c r="E33" s="49"/>
      <c r="F33" s="50">
        <v>8</v>
      </c>
      <c r="G33" s="51" t="str" cm="1">
        <f t="array" ref="G33">_xlfn.IFS(HealthReport!$F33&gt;=10,"PASS",HealthReport!$F33=8,"轻微",HealthReport!$F33=5,"普通",HealthReport!$F33=0,"重要")</f>
        <v>轻微</v>
      </c>
      <c r="H33" s="49"/>
      <c r="I33" s="49"/>
      <c r="J33" s="49"/>
      <c r="K33" s="52"/>
      <c r="L33" s="52" t="str">
        <f t="shared" si="0"/>
        <v>Detail</v>
      </c>
    </row>
    <row r="34" spans="2:12" ht="30" customHeight="1" x14ac:dyDescent="0.25">
      <c r="B34" s="53">
        <v>8</v>
      </c>
      <c r="C34" s="54" t="s">
        <v>91</v>
      </c>
      <c r="D34" s="55" t="s">
        <v>106</v>
      </c>
      <c r="E34" s="54"/>
      <c r="F34" s="56">
        <v>5</v>
      </c>
      <c r="G34" s="57" t="str" cm="1">
        <f t="array" ref="G34">_xlfn.IFS(HealthReport!$F34&gt;=10,"PASS",HealthReport!$F34=8,"轻微",HealthReport!$F34=5,"普通",HealthReport!$F34=0,"重要")</f>
        <v>普通</v>
      </c>
      <c r="H34" s="54"/>
      <c r="I34" s="54"/>
      <c r="J34" s="54"/>
      <c r="K34" s="58"/>
      <c r="L34" s="58" t="str">
        <f t="shared" si="0"/>
        <v>Detail</v>
      </c>
    </row>
    <row r="35" spans="2:12" ht="30" customHeight="1" x14ac:dyDescent="0.25">
      <c r="B35" s="46">
        <v>9</v>
      </c>
      <c r="C35" s="49" t="s">
        <v>91</v>
      </c>
      <c r="D35" s="59" t="s">
        <v>114</v>
      </c>
      <c r="E35" s="49"/>
      <c r="F35" s="50">
        <v>0</v>
      </c>
      <c r="G35" s="51" t="str" cm="1">
        <f t="array" ref="G35">_xlfn.IFS(HealthReport!$F35&gt;=10,"PASS",HealthReport!$F35=8,"轻微",HealthReport!$F35=5,"普通",HealthReport!$F35=0,"重要")</f>
        <v>重要</v>
      </c>
      <c r="H35" s="49"/>
      <c r="I35" s="49"/>
      <c r="J35" s="49"/>
      <c r="K35" s="52"/>
      <c r="L35" s="52" t="str">
        <f t="shared" si="0"/>
        <v>Detail</v>
      </c>
    </row>
    <row r="36" spans="2:12" ht="30" customHeight="1" x14ac:dyDescent="0.25">
      <c r="B36" s="53">
        <v>10</v>
      </c>
      <c r="C36" s="54" t="s">
        <v>91</v>
      </c>
      <c r="D36" s="55" t="s">
        <v>108</v>
      </c>
      <c r="E36" s="54"/>
      <c r="F36" s="56">
        <v>0</v>
      </c>
      <c r="G36" s="57" t="str" cm="1">
        <f t="array" ref="G36">_xlfn.IFS(HealthReport!$F36&gt;=10,"PASS",HealthReport!$F36=8,"轻微",HealthReport!$F36=5,"普通",HealthReport!$F36=0,"重要")</f>
        <v>重要</v>
      </c>
      <c r="H36" s="54"/>
      <c r="I36" s="54"/>
      <c r="J36" s="54"/>
      <c r="K36" s="58"/>
      <c r="L36" s="58" t="str">
        <f t="shared" si="0"/>
        <v>Detail</v>
      </c>
    </row>
    <row r="37" spans="2:12" ht="30" customHeight="1" x14ac:dyDescent="0.25">
      <c r="B37" s="46">
        <v>11</v>
      </c>
      <c r="C37" s="49" t="s">
        <v>94</v>
      </c>
      <c r="D37" s="49" t="s">
        <v>110</v>
      </c>
      <c r="E37" s="49"/>
      <c r="F37" s="50">
        <v>0</v>
      </c>
      <c r="G37" s="51" t="str" cm="1">
        <f t="array" ref="G37">_xlfn.IFS(HealthReport!$F37&gt;=10,"PASS",HealthReport!$F37=8,"轻微",HealthReport!$F37=5,"普通",HealthReport!$F37=0,"重要")</f>
        <v>重要</v>
      </c>
      <c r="H37" s="49"/>
      <c r="I37" s="49"/>
      <c r="J37" s="49"/>
      <c r="K37" s="52"/>
      <c r="L37" s="52" t="str">
        <f t="shared" si="0"/>
        <v>Detail</v>
      </c>
    </row>
    <row r="38" spans="2:12" ht="30" customHeight="1" x14ac:dyDescent="0.25">
      <c r="B38" s="53">
        <v>12</v>
      </c>
      <c r="C38" s="54" t="s">
        <v>93</v>
      </c>
      <c r="D38" s="54"/>
      <c r="E38" s="54"/>
      <c r="F38" s="56">
        <v>0</v>
      </c>
      <c r="G38" s="57" t="str" cm="1">
        <f t="array" ref="G38">_xlfn.IFS(HealthReport!$F38&gt;=10,"PASS",HealthReport!$F38=8,"轻微",HealthReport!$F38=5,"普通",HealthReport!$F38=0,"重要")</f>
        <v>重要</v>
      </c>
      <c r="H38" s="54"/>
      <c r="I38" s="54"/>
      <c r="J38" s="54"/>
      <c r="K38" s="58"/>
      <c r="L38" s="58" t="str">
        <f t="shared" si="0"/>
        <v>Detail</v>
      </c>
    </row>
    <row r="39" spans="2:12" ht="30" customHeight="1" x14ac:dyDescent="0.25">
      <c r="B39" s="23">
        <v>13</v>
      </c>
      <c r="C39" s="61" t="s">
        <v>92</v>
      </c>
      <c r="D39" s="61"/>
      <c r="E39" s="61"/>
      <c r="F39" s="62">
        <v>0</v>
      </c>
      <c r="G39" s="63" t="str" cm="1">
        <f t="array" ref="G39">_xlfn.IFS(HealthReport!$F39&gt;=10,"PASS",HealthReport!$F39=8,"轻微",HealthReport!$F39=5,"普通",HealthReport!$F39=0,"重要")</f>
        <v>重要</v>
      </c>
      <c r="H39" s="61"/>
      <c r="I39" s="61"/>
      <c r="J39" s="61"/>
      <c r="K39" s="64"/>
      <c r="L39" s="64" t="str">
        <f t="shared" si="0"/>
        <v>Detail</v>
      </c>
    </row>
    <row r="40" spans="2:12" ht="30" customHeight="1" x14ac:dyDescent="0.25">
      <c r="G40" s="24"/>
    </row>
  </sheetData>
  <dataConsolidate/>
  <mergeCells count="1">
    <mergeCell ref="H30:K30"/>
  </mergeCells>
  <phoneticPr fontId="15" type="noConversion"/>
  <conditionalFormatting sqref="B13:B24">
    <cfRule type="notContainsBlanks" dxfId="8" priority="3">
      <formula>LEN(TRIM(B13))&gt;0</formula>
    </cfRule>
  </conditionalFormatting>
  <conditionalFormatting sqref="B14:C14">
    <cfRule type="notContainsBlanks" dxfId="7" priority="4">
      <formula>LEN(TRIM(B14))&gt;0</formula>
    </cfRule>
  </conditionalFormatting>
  <conditionalFormatting sqref="B12:L12 J13:L17 H17 H18:L24">
    <cfRule type="notContainsBlanks" dxfId="6" priority="17">
      <formula>LEN(TRIM(B12))&gt;0</formula>
    </cfRule>
  </conditionalFormatting>
  <conditionalFormatting sqref="G8:G11 G13:G19">
    <cfRule type="notContainsBlanks" dxfId="5" priority="18">
      <formula>LEN(TRIM(G8))&gt;0</formula>
    </cfRule>
  </conditionalFormatting>
  <conditionalFormatting sqref="H14:H15">
    <cfRule type="notContainsBlanks" dxfId="4" priority="10">
      <formula>LEN(TRIM(H14))&gt;0</formula>
    </cfRule>
  </conditionalFormatting>
  <conditionalFormatting sqref="H16:I16">
    <cfRule type="notContainsBlanks" dxfId="3" priority="16">
      <formula>LEN(TRIM(H16))&gt;0</formula>
    </cfRule>
  </conditionalFormatting>
  <conditionalFormatting sqref="I13:I15">
    <cfRule type="notContainsBlanks" dxfId="2" priority="7">
      <formula>LEN(TRIM(I13))&gt;0</formula>
    </cfRule>
  </conditionalFormatting>
  <conditionalFormatting sqref="L4:L11 P7">
    <cfRule type="notContainsBlanks" dxfId="1" priority="19">
      <formula>LEN(TRIM(L4))&gt;0</formula>
    </cfRule>
  </conditionalFormatting>
  <dataValidations xWindow="163" yWindow="433" count="13">
    <dataValidation allowBlank="1" showInputMessage="1" showErrorMessage="1" prompt="Title of this worksheet is in cells B1 through C1. Enter School Supplies in table starting in cell B8. Enter budget in cell C5" sqref="C1" xr:uid="{00000000-0002-0000-0000-000000000000}"/>
    <dataValidation allowBlank="1" showInputMessage="1" showErrorMessage="1" prompt="Enter Budget in cell C5. Shopping List Total in cell C6 and Remaining Cash in cell C7 are automatically calculated based on entries in Checklist table" sqref="H3:K3 E12:F14 C13:D14 C3:F3" xr:uid="{00000000-0002-0000-0000-000001000000}"/>
    <dataValidation allowBlank="1" showInputMessage="1" showErrorMessage="1" prompt="Enter Budget in cell at right" sqref="C4 C7 H4:I4 H7:I7 C15 C18" xr:uid="{00000000-0002-0000-0000-000002000000}"/>
    <dataValidation allowBlank="1" showInputMessage="1" showErrorMessage="1" prompt="Shopping List Total is automatically calculated in cell at right" sqref="C5 C8 H5:I5 H8:I8 C16 C19" xr:uid="{00000000-0002-0000-0000-000003000000}"/>
    <dataValidation allowBlank="1" showInputMessage="1" showErrorMessage="1" prompt="Shopping List Total is automatically calculated in this cell" sqref="D8:F8 J5:K5 J8:K8 D16:F16 D5:F5 D19:F19" xr:uid="{00000000-0002-0000-0000-000004000000}"/>
    <dataValidation allowBlank="1" showInputMessage="1" showErrorMessage="1" prompt="Enter Budget in this cell" sqref="D7:F7 J4:K4 J7:K7 D15:F15 D4:F4 D18:F18" xr:uid="{00000000-0002-0000-0000-000005000000}"/>
    <dataValidation allowBlank="1" showInputMessage="1" showErrorMessage="1" prompt="Remaining Cash is automatically calculated in cell at right" sqref="C6 C9:C12 H6:I6 C17 H10:I12 C20:C24" xr:uid="{00000000-0002-0000-0000-000006000000}"/>
    <dataValidation allowBlank="1" showInputMessage="1" showErrorMessage="1" prompt="Remaining Cash is automatically calculated in this cell" sqref="J6:K6 D17:F17 D9:F12 D6:F6 D20:F24 J10:K12" xr:uid="{00000000-0002-0000-0000-000007000000}"/>
    <dataValidation allowBlank="1" showInputMessage="1" showErrorMessage="1" prompt="Purchasing Progress bar is in cells E5 through H7" sqref="P7 H12:I12 G8:G19 C12:F12 L4:L11 H18:I24 H17 H13 H14:I14 H16:I16 H15 J12:L24" xr:uid="{00000000-0002-0000-0000-000009000000}"/>
    <dataValidation allowBlank="1" showInputMessage="1" showErrorMessage="1" prompt="Enter Shopping details in table below. Category list is automatically updated from Category table" sqref="C25" xr:uid="{00000000-0002-0000-0000-00000A000000}"/>
    <dataValidation allowBlank="1" showInputMessage="1" showErrorMessage="1" prompt="Purchasing Progress bar is in cells below" sqref="H13" xr:uid="{00000000-0002-0000-0000-000008000000}"/>
    <dataValidation type="list" allowBlank="1" showInputMessage="1" showErrorMessage="1" sqref="C27:C39" xr:uid="{9A7EB216-EA1D-4A3D-B9E3-20B91A83DBC8}">
      <formula1>$C$15:$C$22</formula1>
    </dataValidation>
    <dataValidation errorStyle="warning" allowBlank="1" showInputMessage="1" showErrorMessage="1" error="Select Category from the list. Enter new categories in Category worksheet. Select CANCEL, then press ALT+DOWN ARROW for options, then DOWN ARROW and ENTER to make selection" sqref="D27:E39" xr:uid="{00000000-0002-0000-0000-000013000000}"/>
  </dataValidations>
  <printOptions horizontalCentered="1"/>
  <pageMargins left="0.7" right="0.7" top="0.75" bottom="0.75" header="0.3" footer="0.3"/>
  <pageSetup scale="58" fitToHeight="0" orientation="portrait" r:id="rId1"/>
  <headerFooter differentFirst="1">
    <oddFooter>Page &amp;P of &amp;N</oddFooter>
  </headerFooter>
  <ignoredErrors>
    <ignoredError sqref="F8:F9" numberStoredAsText="1"/>
  </ignoredErrors>
  <drawing r:id="rId2"/>
  <legacyDrawing r:id="rId3"/>
  <extLst>
    <ext xmlns:x14="http://schemas.microsoft.com/office/spreadsheetml/2009/9/main" uri="{78C0D931-6437-407d-A8EE-F0AAD7539E65}">
      <x14:conditionalFormattings>
        <x14:conditionalFormatting xmlns:xm="http://schemas.microsoft.com/office/excel/2006/main">
          <x14:cfRule type="iconSet" priority="1" id="{D7E11CA3-AE2E-4AE0-8760-69AFD47E19CB}">
            <x14:iconSet iconSet="3Symbols" showValue="0" custom="1">
              <x14:cfvo type="percent">
                <xm:f>0</xm:f>
              </x14:cfvo>
              <x14:cfvo type="num">
                <xm:f>5</xm:f>
              </x14:cfvo>
              <x14:cfvo type="num">
                <xm:f>10</xm:f>
              </x14:cfvo>
              <x14:cfIcon iconSet="3Symbols" iconId="0"/>
              <x14:cfIcon iconSet="3Symbols" iconId="1"/>
              <x14:cfIcon iconSet="3Symbols2" iconId="2"/>
            </x14:iconSet>
          </x14:cfRule>
          <xm:sqref>F27:F39</xm:sqref>
        </x14:conditionalFormatting>
        <x14:conditionalFormatting xmlns:xm="http://schemas.microsoft.com/office/excel/2006/main">
          <x14:cfRule type="iconSet" priority="126" id="{904FC827-5D32-400A-97DB-D891D8D2E589}">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H27 J27 H28:J29 H33:J39 I31:J32 H30</xm:sqref>
        </x14:conditionalFormatting>
        <x14:conditionalFormatting xmlns:xm="http://schemas.microsoft.com/office/excel/2006/main">
          <x14:cfRule type="iconSet" priority="128" id="{91FC4C5D-AF8B-4E30-B194-1E2B2576DFF5}">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K28:K29 K31:K39</xm:sqref>
        </x14:conditionalFormatting>
        <x14:conditionalFormatting xmlns:xm="http://schemas.microsoft.com/office/excel/2006/main">
          <x14:cfRule type="iconSet" priority="127" id="{D6CA9112-E31E-493B-AC44-8CFD7A9AFAFB}">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L28:L39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Z13"/>
  <sheetViews>
    <sheetView workbookViewId="0">
      <pane xSplit="1" ySplit="2" topLeftCell="B3" activePane="bottomRight" state="frozen"/>
      <selection activeCell="B3" sqref="B3"/>
      <selection pane="topRight" activeCell="B3" sqref="B3"/>
      <selection pane="bottomLeft" activeCell="B3" sqref="B3"/>
      <selection pane="bottomRight" activeCell="B5" sqref="B5"/>
    </sheetView>
  </sheetViews>
  <sheetFormatPr defaultRowHeight="15" x14ac:dyDescent="0.25"/>
  <cols>
    <col min="1" max="1" width="19.25" style="42" customWidth="1"/>
    <col min="2" max="26" width="70" style="41" customWidth="1"/>
    <col min="27" max="16384" width="9" style="42"/>
  </cols>
  <sheetData>
    <row r="1" spans="1:3" x14ac:dyDescent="0.25">
      <c r="A1" s="40" t="s">
        <v>45</v>
      </c>
      <c r="B1" s="41" t="s">
        <v>49</v>
      </c>
    </row>
    <row r="2" spans="1:3" x14ac:dyDescent="0.25">
      <c r="A2" s="40" t="s">
        <v>46</v>
      </c>
      <c r="B2" s="41" t="s">
        <v>50</v>
      </c>
    </row>
    <row r="3" spans="1:3" ht="409.5" x14ac:dyDescent="0.25">
      <c r="A3" s="40" t="s">
        <v>116</v>
      </c>
      <c r="B3" s="43" t="s">
        <v>117</v>
      </c>
    </row>
    <row r="4" spans="1:3" x14ac:dyDescent="0.25">
      <c r="A4" s="40" t="s">
        <v>118</v>
      </c>
    </row>
    <row r="5" spans="1:3" x14ac:dyDescent="0.25">
      <c r="A5" s="40" t="s">
        <v>100</v>
      </c>
      <c r="B5" s="41" t="s">
        <v>119</v>
      </c>
      <c r="C5" s="65" t="str">
        <f>HYPERLINK("#HealthReport!B30","Retrun")</f>
        <v>Retrun</v>
      </c>
    </row>
    <row r="6" spans="1:3" x14ac:dyDescent="0.25">
      <c r="A6" s="40" t="s">
        <v>102</v>
      </c>
      <c r="B6" s="41" t="s">
        <v>119</v>
      </c>
    </row>
    <row r="7" spans="1:3" x14ac:dyDescent="0.25">
      <c r="A7" s="40" t="s">
        <v>120</v>
      </c>
      <c r="B7" s="41" t="s">
        <v>119</v>
      </c>
    </row>
    <row r="8" spans="1:3" x14ac:dyDescent="0.25">
      <c r="A8" s="40" t="s">
        <v>121</v>
      </c>
      <c r="B8" s="41" t="s">
        <v>119</v>
      </c>
    </row>
    <row r="9" spans="1:3" x14ac:dyDescent="0.25">
      <c r="A9" s="40" t="s">
        <v>122</v>
      </c>
      <c r="B9" s="41" t="s">
        <v>119</v>
      </c>
    </row>
    <row r="10" spans="1:3" x14ac:dyDescent="0.25">
      <c r="A10" s="40" t="s">
        <v>123</v>
      </c>
      <c r="B10" s="41" t="s">
        <v>124</v>
      </c>
    </row>
    <row r="11" spans="1:3" x14ac:dyDescent="0.25">
      <c r="A11" s="40" t="s">
        <v>125</v>
      </c>
      <c r="B11" s="41" t="s">
        <v>124</v>
      </c>
    </row>
    <row r="12" spans="1:3" x14ac:dyDescent="0.25">
      <c r="A12" s="40" t="s">
        <v>107</v>
      </c>
      <c r="B12" s="41" t="s">
        <v>126</v>
      </c>
    </row>
    <row r="13" spans="1:3" x14ac:dyDescent="0.25">
      <c r="A13" s="40" t="s">
        <v>127</v>
      </c>
      <c r="B13" s="43" t="s">
        <v>119</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Z34"/>
  <sheetViews>
    <sheetView workbookViewId="0">
      <pane xSplit="1" ySplit="2" topLeftCell="B3" activePane="bottomRight" state="frozen"/>
      <selection activeCell="B3" sqref="B3"/>
      <selection pane="topRight" activeCell="B3" sqref="B3"/>
      <selection pane="bottomLeft" activeCell="B3" sqref="B3"/>
      <selection pane="bottomRight" activeCell="B4" sqref="B4"/>
    </sheetView>
  </sheetViews>
  <sheetFormatPr defaultRowHeight="15" x14ac:dyDescent="0.25"/>
  <cols>
    <col min="1" max="1" width="19.25" style="42" customWidth="1"/>
    <col min="2" max="26" width="87.5" style="41" customWidth="1"/>
    <col min="27" max="16384" width="9" style="42"/>
  </cols>
  <sheetData>
    <row r="1" spans="1:2" ht="30" x14ac:dyDescent="0.25">
      <c r="A1" s="40" t="s">
        <v>128</v>
      </c>
      <c r="B1" s="41" t="s">
        <v>59</v>
      </c>
    </row>
    <row r="2" spans="1:2" x14ac:dyDescent="0.25">
      <c r="A2" s="40" t="s">
        <v>45</v>
      </c>
      <c r="B2" s="41" t="s">
        <v>49</v>
      </c>
    </row>
    <row r="3" spans="1:2" ht="375" x14ac:dyDescent="0.25">
      <c r="A3" s="40" t="s">
        <v>109</v>
      </c>
      <c r="B3" s="44" t="s">
        <v>129</v>
      </c>
    </row>
    <row r="4" spans="1:2" ht="409.5" x14ac:dyDescent="0.25">
      <c r="A4" s="40" t="s">
        <v>130</v>
      </c>
      <c r="B4" s="41" t="s">
        <v>131</v>
      </c>
    </row>
    <row r="5" spans="1:2" x14ac:dyDescent="0.25">
      <c r="A5" s="40" t="s">
        <v>132</v>
      </c>
      <c r="B5" s="43" t="s">
        <v>133</v>
      </c>
    </row>
    <row r="6" spans="1:2" ht="390" x14ac:dyDescent="0.25">
      <c r="A6" s="40" t="s">
        <v>134</v>
      </c>
      <c r="B6" s="41" t="s">
        <v>135</v>
      </c>
    </row>
    <row r="7" spans="1:2" ht="105" x14ac:dyDescent="0.25">
      <c r="A7" s="40" t="s">
        <v>136</v>
      </c>
      <c r="B7" s="41" t="s">
        <v>137</v>
      </c>
    </row>
    <row r="8" spans="1:2" ht="150" x14ac:dyDescent="0.25">
      <c r="A8" s="40" t="s">
        <v>138</v>
      </c>
      <c r="B8" s="43" t="s">
        <v>139</v>
      </c>
    </row>
    <row r="9" spans="1:2" ht="105" x14ac:dyDescent="0.25">
      <c r="A9" s="40" t="s">
        <v>140</v>
      </c>
      <c r="B9" s="44" t="s">
        <v>141</v>
      </c>
    </row>
    <row r="10" spans="1:2" ht="375" x14ac:dyDescent="0.25">
      <c r="A10" s="40" t="s">
        <v>142</v>
      </c>
      <c r="B10" s="43" t="s">
        <v>143</v>
      </c>
    </row>
    <row r="11" spans="1:2" ht="120" x14ac:dyDescent="0.25">
      <c r="A11" s="40" t="s">
        <v>144</v>
      </c>
      <c r="B11" s="45" t="s">
        <v>145</v>
      </c>
    </row>
    <row r="12" spans="1:2" ht="225" x14ac:dyDescent="0.25">
      <c r="A12" s="40" t="s">
        <v>146</v>
      </c>
      <c r="B12" s="41" t="s">
        <v>147</v>
      </c>
    </row>
    <row r="13" spans="1:2" x14ac:dyDescent="0.25">
      <c r="A13" s="40" t="s">
        <v>148</v>
      </c>
      <c r="B13" s="41" t="s">
        <v>119</v>
      </c>
    </row>
    <row r="14" spans="1:2" x14ac:dyDescent="0.25">
      <c r="A14" s="40" t="s">
        <v>149</v>
      </c>
      <c r="B14" s="41" t="s">
        <v>150</v>
      </c>
    </row>
    <row r="15" spans="1:2" x14ac:dyDescent="0.25">
      <c r="A15" s="40" t="s">
        <v>151</v>
      </c>
      <c r="B15" s="41" t="s">
        <v>119</v>
      </c>
    </row>
    <row r="16" spans="1:2" ht="409.5" x14ac:dyDescent="0.25">
      <c r="A16" s="40" t="s">
        <v>152</v>
      </c>
      <c r="B16" s="41" t="s">
        <v>153</v>
      </c>
    </row>
    <row r="17" spans="1:2" x14ac:dyDescent="0.25">
      <c r="A17" s="40" t="s">
        <v>154</v>
      </c>
      <c r="B17" s="41" t="s">
        <v>119</v>
      </c>
    </row>
    <row r="18" spans="1:2" ht="120" x14ac:dyDescent="0.25">
      <c r="A18" s="40" t="s">
        <v>155</v>
      </c>
      <c r="B18" s="41" t="s">
        <v>156</v>
      </c>
    </row>
    <row r="19" spans="1:2" ht="60" x14ac:dyDescent="0.25">
      <c r="A19" s="40" t="s">
        <v>157</v>
      </c>
      <c r="B19" s="41" t="s">
        <v>158</v>
      </c>
    </row>
    <row r="20" spans="1:2" ht="165" x14ac:dyDescent="0.25">
      <c r="A20" s="40" t="s">
        <v>159</v>
      </c>
      <c r="B20" s="41" t="s">
        <v>160</v>
      </c>
    </row>
    <row r="21" spans="1:2" x14ac:dyDescent="0.25">
      <c r="A21" s="40" t="s">
        <v>161</v>
      </c>
      <c r="B21" s="43" t="s">
        <v>162</v>
      </c>
    </row>
    <row r="22" spans="1:2" x14ac:dyDescent="0.25">
      <c r="A22" s="40" t="s">
        <v>163</v>
      </c>
      <c r="B22" s="45" t="s">
        <v>119</v>
      </c>
    </row>
    <row r="23" spans="1:2" ht="60" x14ac:dyDescent="0.25">
      <c r="A23" s="40" t="s">
        <v>164</v>
      </c>
      <c r="B23" s="45" t="s">
        <v>165</v>
      </c>
    </row>
    <row r="24" spans="1:2" x14ac:dyDescent="0.25">
      <c r="A24" s="40" t="s">
        <v>166</v>
      </c>
      <c r="B24" s="41" t="s">
        <v>119</v>
      </c>
    </row>
    <row r="25" spans="1:2" ht="60" x14ac:dyDescent="0.25">
      <c r="A25" s="40" t="s">
        <v>167</v>
      </c>
      <c r="B25" s="45" t="s">
        <v>168</v>
      </c>
    </row>
    <row r="26" spans="1:2" ht="45" x14ac:dyDescent="0.25">
      <c r="A26" s="40" t="s">
        <v>169</v>
      </c>
      <c r="B26" s="41" t="s">
        <v>170</v>
      </c>
    </row>
    <row r="27" spans="1:2" ht="60" x14ac:dyDescent="0.25">
      <c r="A27" s="40" t="s">
        <v>171</v>
      </c>
      <c r="B27" s="41" t="s">
        <v>172</v>
      </c>
    </row>
    <row r="28" spans="1:2" ht="409.5" x14ac:dyDescent="0.25">
      <c r="A28" s="40" t="s">
        <v>173</v>
      </c>
      <c r="B28" s="41" t="s">
        <v>174</v>
      </c>
    </row>
    <row r="29" spans="1:2" x14ac:dyDescent="0.25">
      <c r="A29" s="40" t="s">
        <v>175</v>
      </c>
      <c r="B29" s="41" t="s">
        <v>119</v>
      </c>
    </row>
    <row r="30" spans="1:2" ht="180" x14ac:dyDescent="0.25">
      <c r="A30" s="40" t="s">
        <v>176</v>
      </c>
      <c r="B30" s="41" t="s">
        <v>177</v>
      </c>
    </row>
    <row r="31" spans="1:2" ht="30" x14ac:dyDescent="0.25">
      <c r="A31" s="40" t="s">
        <v>178</v>
      </c>
      <c r="B31" s="41" t="s">
        <v>119</v>
      </c>
    </row>
    <row r="32" spans="1:2" ht="30" x14ac:dyDescent="0.25">
      <c r="A32" s="40" t="s">
        <v>179</v>
      </c>
      <c r="B32" s="41" t="s">
        <v>119</v>
      </c>
    </row>
    <row r="33" spans="1:1" x14ac:dyDescent="0.25">
      <c r="A33" s="40" t="s">
        <v>180</v>
      </c>
    </row>
    <row r="34" spans="1:1" x14ac:dyDescent="0.25">
      <c r="A34" s="40" t="s">
        <v>180</v>
      </c>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5" tint="-0.249977111117893"/>
    <pageSetUpPr fitToPage="1"/>
  </sheetPr>
  <dimension ref="B1:C6"/>
  <sheetViews>
    <sheetView workbookViewId="0">
      <selection activeCell="B7" sqref="B7"/>
    </sheetView>
  </sheetViews>
  <sheetFormatPr defaultRowHeight="30" customHeight="1" x14ac:dyDescent="0.25"/>
  <cols>
    <col min="1" max="1" width="2.625" customWidth="1"/>
    <col min="2" max="2" width="20.625" customWidth="1"/>
    <col min="3" max="3" width="19.875" customWidth="1"/>
    <col min="4" max="4" width="2.625" customWidth="1"/>
    <col min="5" max="5" width="67.375" customWidth="1"/>
    <col min="6" max="6" width="2.625" customWidth="1"/>
  </cols>
  <sheetData>
    <row r="1" spans="2:3" ht="35.1" customHeight="1" x14ac:dyDescent="0.35">
      <c r="B1" s="3" t="s">
        <v>13</v>
      </c>
    </row>
    <row r="2" spans="2:3" ht="35.1" customHeight="1" x14ac:dyDescent="0.25">
      <c r="B2" s="5" t="s">
        <v>14</v>
      </c>
    </row>
    <row r="3" spans="2:3" ht="30" customHeight="1" x14ac:dyDescent="0.25">
      <c r="B3" t="s">
        <v>5</v>
      </c>
      <c r="C3" t="s">
        <v>12</v>
      </c>
    </row>
    <row r="4" spans="2:3" ht="30" customHeight="1" x14ac:dyDescent="0.25">
      <c r="B4" t="s">
        <v>0</v>
      </c>
      <c r="C4" s="1" t="str">
        <f>IFERROR(SUMIFS(#REF!,HealthReport!$D$27:$D$39,Category[[#This Row],[Category]]), "")</f>
        <v/>
      </c>
    </row>
    <row r="5" spans="2:3" ht="30" customHeight="1" x14ac:dyDescent="0.25">
      <c r="B5" t="s">
        <v>1</v>
      </c>
      <c r="C5" s="1" t="str">
        <f>IFERROR(SUMIFS(#REF!,HealthReport!$D$27:$D$39,Category[[#This Row],[Category]]), "")</f>
        <v/>
      </c>
    </row>
    <row r="6" spans="2:3" ht="30" hidden="1" customHeight="1" x14ac:dyDescent="0.25">
      <c r="B6" t="s">
        <v>37</v>
      </c>
      <c r="C6" s="1" t="str">
        <f>IFERROR(SUMIFS(#REF!,HealthReport!$D$27:$D$39,Category[[#This Row],[Category]]), "")</f>
        <v/>
      </c>
    </row>
  </sheetData>
  <phoneticPr fontId="15" type="noConversion"/>
  <dataValidations xWindow="133" yWindow="350" count="5">
    <dataValidation allowBlank="1" showInputMessage="1" showErrorMessage="1" prompt="Category items are in this column under this heading" sqref="B3" xr:uid="{00000000-0002-0000-0100-000000000000}"/>
    <dataValidation allowBlank="1" showInputMessage="1" showErrorMessage="1" prompt="Category totals are automatically calculated in this column under this heading based on entries in Check List table in Shopping List worksheet" sqref="C3" xr:uid="{00000000-0002-0000-0100-000001000000}"/>
    <dataValidation allowBlank="1" showInputMessage="1" showErrorMessage="1" prompt="Clustered column chart of categories and total cost breakdown is in cells E4 through E12" sqref="E4" xr:uid="{00000000-0002-0000-0100-000002000000}"/>
    <dataValidation allowBlank="1" showInputMessage="1" showErrorMessage="1" prompt="Budget Breakdown is in this worksheet. Modify or update categories in Category table starting in cell B3. Chart depicting Categories and Totals is in cells E4 through E12" sqref="A1" xr:uid="{00000000-0002-0000-0100-000003000000}"/>
    <dataValidation allowBlank="1" showInputMessage="1" showErrorMessage="1" prompt="Title of this worksheet is in this cell. Insert or modify categories in table below to update Category list in Check List table. Totals for Categories are automatically updated" sqref="B1" xr:uid="{00000000-0002-0000-0100-000004000000}"/>
  </dataValidations>
  <printOptions horizontalCentered="1"/>
  <pageMargins left="0.25" right="0.25" top="0.5" bottom="0.5" header="0.25" footer="0.25"/>
  <pageSetup scale="88" fitToHeight="0" orientation="portrait" horizontalDpi="200" verticalDpi="200" r:id="rId1"/>
  <headerFooter differentFirst="1">
    <oddFooter>Page &amp;P of &amp;N</oddFooter>
  </headerFooter>
  <ignoredErrors>
    <ignoredError sqref="C4" calculatedColumn="1"/>
  </ignoredError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tint="0.249977111117893"/>
    <pageSetUpPr fitToPage="1"/>
  </sheetPr>
  <dimension ref="B1:C22"/>
  <sheetViews>
    <sheetView workbookViewId="0">
      <selection activeCell="C6" sqref="C6"/>
    </sheetView>
  </sheetViews>
  <sheetFormatPr defaultRowHeight="30" customHeight="1" x14ac:dyDescent="0.25"/>
  <cols>
    <col min="1" max="1" width="2.625" customWidth="1"/>
    <col min="2" max="2" width="11.625" customWidth="1"/>
    <col min="3" max="3" width="87.25" customWidth="1"/>
    <col min="4" max="4" width="2.625" customWidth="1"/>
  </cols>
  <sheetData>
    <row r="1" spans="2:3" ht="35.1" customHeight="1" x14ac:dyDescent="0.35">
      <c r="B1" s="3" t="s">
        <v>15</v>
      </c>
    </row>
    <row r="2" spans="2:3" ht="35.1" customHeight="1" x14ac:dyDescent="0.25">
      <c r="B2" s="5" t="s">
        <v>11</v>
      </c>
    </row>
    <row r="3" spans="2:3" ht="30" customHeight="1" x14ac:dyDescent="0.25">
      <c r="B3" t="s">
        <v>3</v>
      </c>
      <c r="C3" t="s">
        <v>4</v>
      </c>
    </row>
    <row r="4" spans="2:3" ht="30" customHeight="1" x14ac:dyDescent="0.25">
      <c r="B4" s="2" t="s">
        <v>41</v>
      </c>
      <c r="C4" t="s">
        <v>2</v>
      </c>
    </row>
    <row r="5" spans="2:3" ht="30" customHeight="1" x14ac:dyDescent="0.25">
      <c r="B5" s="2"/>
      <c r="C5" t="s">
        <v>16</v>
      </c>
    </row>
    <row r="6" spans="2:3" ht="30" customHeight="1" x14ac:dyDescent="0.25">
      <c r="B6" s="2"/>
      <c r="C6" t="s">
        <v>17</v>
      </c>
    </row>
    <row r="7" spans="2:3" ht="30" customHeight="1" x14ac:dyDescent="0.25">
      <c r="B7" s="2"/>
      <c r="C7" t="s">
        <v>18</v>
      </c>
    </row>
    <row r="8" spans="2:3" ht="30" customHeight="1" x14ac:dyDescent="0.25">
      <c r="B8" s="2"/>
      <c r="C8" t="s">
        <v>19</v>
      </c>
    </row>
    <row r="9" spans="2:3" ht="30" customHeight="1" x14ac:dyDescent="0.25">
      <c r="B9" s="2"/>
      <c r="C9" t="s">
        <v>20</v>
      </c>
    </row>
    <row r="10" spans="2:3" ht="30" customHeight="1" x14ac:dyDescent="0.25">
      <c r="B10" s="2"/>
      <c r="C10" t="s">
        <v>21</v>
      </c>
    </row>
    <row r="11" spans="2:3" ht="30" customHeight="1" x14ac:dyDescent="0.25">
      <c r="B11" s="2"/>
      <c r="C11" t="s">
        <v>22</v>
      </c>
    </row>
    <row r="12" spans="2:3" ht="30" customHeight="1" x14ac:dyDescent="0.25">
      <c r="B12" s="2"/>
      <c r="C12" t="s">
        <v>23</v>
      </c>
    </row>
    <row r="13" spans="2:3" ht="30" customHeight="1" x14ac:dyDescent="0.25">
      <c r="B13" s="2"/>
      <c r="C13" t="s">
        <v>24</v>
      </c>
    </row>
    <row r="14" spans="2:3" ht="30" customHeight="1" x14ac:dyDescent="0.25">
      <c r="B14" s="2"/>
      <c r="C14" t="s">
        <v>25</v>
      </c>
    </row>
    <row r="15" spans="2:3" ht="30" customHeight="1" x14ac:dyDescent="0.25">
      <c r="B15" s="2"/>
      <c r="C15" t="s">
        <v>26</v>
      </c>
    </row>
    <row r="16" spans="2:3" ht="30" customHeight="1" x14ac:dyDescent="0.25">
      <c r="B16" s="2"/>
      <c r="C16" t="s">
        <v>27</v>
      </c>
    </row>
    <row r="17" spans="2:3" ht="30" customHeight="1" x14ac:dyDescent="0.25">
      <c r="B17" s="2"/>
      <c r="C17" t="s">
        <v>28</v>
      </c>
    </row>
    <row r="18" spans="2:3" ht="30" customHeight="1" x14ac:dyDescent="0.25">
      <c r="B18" s="2"/>
      <c r="C18" t="s">
        <v>29</v>
      </c>
    </row>
    <row r="19" spans="2:3" ht="30" customHeight="1" x14ac:dyDescent="0.25">
      <c r="B19" s="2"/>
      <c r="C19" t="s">
        <v>30</v>
      </c>
    </row>
    <row r="20" spans="2:3" ht="30" customHeight="1" x14ac:dyDescent="0.25">
      <c r="B20" s="2"/>
      <c r="C20" t="s">
        <v>31</v>
      </c>
    </row>
    <row r="21" spans="2:3" ht="30" customHeight="1" x14ac:dyDescent="0.25">
      <c r="B21" s="2"/>
      <c r="C21" t="s">
        <v>32</v>
      </c>
    </row>
    <row r="22" spans="2:3" ht="30" customHeight="1" x14ac:dyDescent="0.25">
      <c r="B22" s="2"/>
      <c r="C22" t="s">
        <v>33</v>
      </c>
    </row>
  </sheetData>
  <phoneticPr fontId="15" type="noConversion"/>
  <conditionalFormatting sqref="B4:C22">
    <cfRule type="expression" dxfId="0" priority="1">
      <formula>LEN($B4)&gt;0</formula>
    </cfRule>
  </conditionalFormatting>
  <dataValidations count="4">
    <dataValidation allowBlank="1" showInputMessage="1" showErrorMessage="1" prompt="Mark tasks Done in this column under this heading. Use heading filters to find specific entries. Completed tasks are automatically updated with strikethrough formatting" sqref="B3" xr:uid="{00000000-0002-0000-0200-000000000000}"/>
    <dataValidation allowBlank="1" showInputMessage="1" showErrorMessage="1" prompt="Enter Task description in this column under this heading" sqref="C3" xr:uid="{00000000-0002-0000-0200-000001000000}"/>
    <dataValidation allowBlank="1" showInputMessage="1" showErrorMessage="1" prompt="Create a To Do List in this worksheet. Use Done column to indicate the completion of tasks" sqref="A1:A2" xr:uid="{00000000-0002-0000-0200-000002000000}"/>
    <dataValidation allowBlank="1" showInputMessage="1" showErrorMessage="1" prompt="Title of this worksheet is in this cell. Create a To Do List in table starting in cell B3" sqref="B1" xr:uid="{00000000-0002-0000-0200-000003000000}"/>
  </dataValidations>
  <printOptions horizontalCentered="1"/>
  <pageMargins left="0.25" right="0.25" top="0.5" bottom="0.5" header="0.25" footer="0.25"/>
  <pageSetup scale="98" fitToHeight="0" orientation="portrait" horizontalDpi="200" verticalDpi="200" r:id="rId1"/>
  <headerFooter differentFirst="1">
    <oddFoote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pageSetUpPr fitToPage="1"/>
  </sheetPr>
  <dimension ref="B1:E4"/>
  <sheetViews>
    <sheetView workbookViewId="0">
      <selection activeCell="E6" sqref="E6"/>
    </sheetView>
  </sheetViews>
  <sheetFormatPr defaultColWidth="8.625" defaultRowHeight="30" customHeight="1" x14ac:dyDescent="0.25"/>
  <cols>
    <col min="1" max="1" width="2.625" customWidth="1"/>
    <col min="2" max="2" width="20.625" customWidth="1"/>
    <col min="3" max="3" width="19.875" customWidth="1"/>
    <col min="4" max="4" width="15.375" customWidth="1"/>
    <col min="5" max="5" width="56.125" customWidth="1"/>
    <col min="6" max="6" width="2.625" customWidth="1"/>
  </cols>
  <sheetData>
    <row r="1" spans="2:5" ht="49.9" customHeight="1" x14ac:dyDescent="0.35">
      <c r="B1" s="3" t="s">
        <v>36</v>
      </c>
      <c r="E1" s="7" t="s">
        <v>40</v>
      </c>
    </row>
    <row r="2" spans="2:5" ht="30" customHeight="1" x14ac:dyDescent="0.25">
      <c r="B2" t="s">
        <v>6</v>
      </c>
      <c r="C2" t="s">
        <v>7</v>
      </c>
      <c r="D2" t="s">
        <v>8</v>
      </c>
    </row>
    <row r="3" spans="2:5" ht="30" customHeight="1" x14ac:dyDescent="0.25">
      <c r="B3" t="s">
        <v>34</v>
      </c>
      <c r="C3" s="4" t="s">
        <v>38</v>
      </c>
      <c r="D3" t="s">
        <v>9</v>
      </c>
    </row>
    <row r="4" spans="2:5" ht="30" customHeight="1" x14ac:dyDescent="0.25">
      <c r="B4" t="s">
        <v>35</v>
      </c>
      <c r="C4" s="4" t="s">
        <v>39</v>
      </c>
      <c r="D4" t="s">
        <v>10</v>
      </c>
    </row>
  </sheetData>
  <phoneticPr fontId="15" type="noConversion"/>
  <dataValidations xWindow="58" yWindow="495" count="6">
    <dataValidation allowBlank="1" showInputMessage="1" showErrorMessage="1" prompt="Enter Email in this column under this heading" sqref="C2" xr:uid="{00000000-0002-0000-0300-000000000000}"/>
    <dataValidation allowBlank="1" showInputMessage="1" showErrorMessage="1" prompt="Enter Name in this column under this heading" sqref="B2" xr:uid="{00000000-0002-0000-0300-000001000000}"/>
    <dataValidation allowBlank="1" showInputMessage="1" showErrorMessage="1" prompt="Title of this worksheet is in this cell and instruction in cell E1" sqref="B1" xr:uid="{00000000-0002-0000-0300-000002000000}"/>
    <dataValidation allowBlank="1" showInputMessage="1" showErrorMessage="1" prompt="Create a list of people to share this workbook with. Enter Name, Email and track sharing in Share List table in this worksheet" sqref="A1" xr:uid="{00000000-0002-0000-0300-000003000000}"/>
    <dataValidation type="list" errorStyle="warning" allowBlank="1" showInputMessage="1" showErrorMessage="1" error="Select Yes or No from the list if the workbook was shared with a friend. Select CANCEL, then press ALT+DOWN ARROW for options, then DOWN ARROW and ENTER to make selection" sqref="D3:D5" xr:uid="{00000000-0002-0000-0300-000004000000}">
      <formula1>"Yes,No"</formula1>
    </dataValidation>
    <dataValidation allowBlank="1" showInputMessage="1" showErrorMessage="1" prompt="Track sharing of this workbook in this column under this heading. Select Yes or No from the list. Press ALT+DOWN ARROW for options, then DOWN ARROW and ENTER to make selection" sqref="D2" xr:uid="{00000000-0002-0000-0300-000005000000}"/>
  </dataValidations>
  <hyperlinks>
    <hyperlink ref="C3" r:id="rId1" xr:uid="{00000000-0004-0000-0300-000000000000}"/>
    <hyperlink ref="C4" r:id="rId2" xr:uid="{00000000-0004-0000-0300-000001000000}"/>
  </hyperlinks>
  <printOptions horizontalCentered="1"/>
  <pageMargins left="0.7" right="0.7" top="0.75" bottom="0.75" header="0.3" footer="0.3"/>
  <pageSetup scale="89" fitToHeight="0" orientation="portrait" horizontalDpi="200" verticalDpi="200" r:id="rId3"/>
  <headerFooter differentFirst="1">
    <oddFooter>Page &amp;P of &amp;N</oddFooter>
  </headerFooter>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00D4997A-F5D7-47B8-8021-08C076C5E1C7}">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HealthReport</vt:lpstr>
      <vt:lpstr>OS</vt:lpstr>
      <vt:lpstr>DB</vt:lpstr>
      <vt:lpstr>Budget breakdown</vt:lpstr>
      <vt:lpstr>To-do list</vt:lpstr>
      <vt:lpstr>Share list</vt:lpstr>
      <vt:lpstr>ColumnTitle1</vt:lpstr>
      <vt:lpstr>ColumnTitle2</vt:lpstr>
      <vt:lpstr>ColumnTitle3</vt:lpstr>
      <vt:lpstr>'Share list'!ColumnTitle4</vt:lpstr>
      <vt:lpstr>HealthReport!Print_Titles</vt:lpstr>
      <vt:lpstr>'Share list'!Print_Titles</vt:lpstr>
      <vt:lpstr>'To-do list'!Print_Titles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2025-05-29T03:38:03Z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