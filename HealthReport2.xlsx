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/>
  <xr:revisionPtr revIDLastSave="0" documentId="13_ncr:1_{C40EBA3C-0404-4F57-9406-7020F26845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lthReport" sheetId="1" r:id="rId1"/>
    <sheet name="OS" sheetId="5" r:id="rId2"/>
    <sheet name="DB" sheetId="6" r:id="rId3"/>
  </sheets>
  <definedNames>
    <definedName name="ChecklistTotal">SUM(#REF!)</definedName>
    <definedName name="ColumnTitle1">HealthReport!$B$27:$L$39</definedName>
    <definedName name="ColumnTitle2">#REF!</definedName>
    <definedName name="ColumnTitle3">#REF!</definedName>
    <definedName name="_xlnm.Print_Titles" localSheetId="0">HealthReport!$26:$26</definedName>
    <definedName name="RowTitleRegion1..C7">HealthReport!$C$4</definedName>
    <definedName name="SchoolYear">YEAR(TODAY())&amp;" - "&amp;YEAR(TODAY())+1</definedName>
    <definedName name="SumItemsBought">COUNTIF(HealthReport!$L$27:$L$39,"&gt;0")</definedName>
    <definedName name="SumItemsToBuy">COUNTIF(HealthReport!$H$27:$H$39,"&gt;0")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5" l="1"/>
  <c r="L30" i="1"/>
  <c r="L31" i="1"/>
  <c r="L32" i="1"/>
  <c r="L33" i="1"/>
  <c r="L34" i="1"/>
  <c r="L35" i="1"/>
  <c r="L36" i="1"/>
  <c r="L37" i="1"/>
  <c r="L38" i="1"/>
  <c r="L39" i="1"/>
  <c r="G27" i="1" l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L26" i="1"/>
  <c r="H13" i="1"/>
  <c r="P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27" authorId="0" shapeId="0" xr:uid="{9E41461E-B5F3-45AE-9099-A170B522429B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查看主机负载情况,id为空闲时间百分比,值越高负载越小</t>
        </r>
      </text>
    </comment>
    <comment ref="D28" authorId="0" shapeId="0" xr:uid="{CE8FA50E-BD3B-4973-83DB-480955872E6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查看内存是否频繁使用换页SWAP</t>
        </r>
      </text>
    </comment>
    <comment ref="D29" authorId="0" shapeId="0" xr:uid="{BD3948E2-8A4C-436C-A251-46605C2AC18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查看主机IO及磁盘IO负载情况, 当有磁盘%util 超过85%时说明该磁盘非常繁忙, 需要进一步分析或优化IO负载</t>
        </r>
      </text>
    </comment>
    <comment ref="D30" authorId="0" shapeId="0" xr:uid="{219BEDE6-F20F-41C0-8CEA-3DD317C4798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查看文件系统使用率,文件系统使用率小于80%为正常</t>
        </r>
      </text>
    </comment>
    <comment ref="D31" authorId="0" shapeId="0" xr:uid="{6038BBA1-4371-4944-962E-EF8DAAF1E365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查看文件系统索引资源节点使用率小于80%为正常</t>
        </r>
      </text>
    </comment>
    <comment ref="D32" authorId="0" shapeId="0" xr:uid="{72672DE2-604C-4E12-8D14-22FBCC7B2E8D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查看主机透明大页配置情况,为提升系统稳定性建议关闭透明在大页</t>
        </r>
      </text>
    </comment>
    <comment ref="D33" authorId="0" shapeId="0" xr:uid="{021971E8-0EF3-4147-A1FE-688FB0860E9A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查看主机内核参数配置情况</t>
        </r>
      </text>
    </comment>
    <comment ref="D34" authorId="0" shapeId="0" xr:uid="{388B4670-C978-444C-9E73-9808F46CB80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查看用户主机资源限制配置情况</t>
        </r>
      </text>
    </comment>
    <comment ref="D35" authorId="0" shapeId="0" xr:uid="{C950E487-9BBE-47CD-837E-BFC7232D63DC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查看主机NUMA状态,NUMA特性会对数据库服务器稳定运行带来非常大的影响,为避免系统性能隐患,建议关闭NUMA</t>
        </r>
      </text>
    </comment>
    <comment ref="D36" authorId="0" shapeId="0" xr:uid="{CAEAB304-D48F-42EF-854C-6ADD0CDE7561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数据库状态检查主要包括：数据库启动状态,Dataguard保护模式,保护级别,数据库角色等</t>
        </r>
      </text>
    </comment>
    <comment ref="D37" authorId="0" shapeId="0" xr:uid="{25822FDF-1644-4F43-898F-A6C8A539805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针对表空间使用率超过80%且剩余空间不足8G,进行预警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<sst xmlns="http://schemas.openxmlformats.org/spreadsheetml/2006/main" count="169" uniqueCount="139">
  <si>
    <r>
      <rPr>
        <b/>
        <sz val="36"/>
        <color theme="1"/>
        <rFont val="等线"/>
        <family val="2"/>
        <charset val="134"/>
      </rPr>
      <t>健康检查报告</t>
    </r>
    <phoneticPr fontId="14" type="noConversion"/>
  </si>
  <si>
    <t>Server Info</t>
    <phoneticPr fontId="14" type="noConversion"/>
  </si>
  <si>
    <t>DataBase Info</t>
    <phoneticPr fontId="14" type="noConversion"/>
  </si>
  <si>
    <t>主机名</t>
  </si>
  <si>
    <t>IP地址</t>
  </si>
  <si>
    <t>系统平台</t>
  </si>
  <si>
    <t>操作系统补丁</t>
  </si>
  <si>
    <t>dcs0tdb6</t>
  </si>
  <si>
    <t>10.224.209.155</t>
  </si>
  <si>
    <t>Solaris[tm] OE (64-bit)</t>
  </si>
  <si>
    <t>SunOS. Oracle Solaris 11.4 SPARC</t>
  </si>
  <si>
    <t>CPU核数</t>
  </si>
  <si>
    <t>32</t>
  </si>
  <si>
    <t>CPU频率</t>
  </si>
  <si>
    <t>2800</t>
  </si>
  <si>
    <t>内存</t>
  </si>
  <si>
    <t>260352 Megabytes</t>
  </si>
  <si>
    <t>APC2DB</t>
  </si>
  <si>
    <t>数据库版本</t>
  </si>
  <si>
    <t>数据库架构</t>
  </si>
  <si>
    <t>SINGLE INSTANCE</t>
  </si>
  <si>
    <t>主备库角色</t>
  </si>
  <si>
    <t>是否开启归档</t>
  </si>
  <si>
    <t>ARCHIVELOG</t>
  </si>
  <si>
    <t>数据库总大小GB</t>
  </si>
  <si>
    <t>1513.200  GB</t>
  </si>
  <si>
    <t>数据库表数量</t>
  </si>
  <si>
    <t>3072.000  GB</t>
  </si>
  <si>
    <t>数据库字符集</t>
  </si>
  <si>
    <t>AMERICAN_AMERICA.US7ASCII</t>
  </si>
  <si>
    <t>数据库名</t>
    <phoneticPr fontId="14" type="noConversion"/>
  </si>
  <si>
    <t>Oracle Database 19c Enterprise</t>
    <phoneticPr fontId="14" type="noConversion"/>
  </si>
  <si>
    <t>PRIMARY,MAXIMUM PERFORMANCE</t>
    <phoneticPr fontId="14" type="noConversion"/>
  </si>
  <si>
    <t>Issue summary</t>
    <phoneticPr fontId="14" type="noConversion"/>
  </si>
  <si>
    <t>数据库集群检查</t>
    <phoneticPr fontId="14" type="noConversion"/>
  </si>
  <si>
    <t>数据库实例分析</t>
    <phoneticPr fontId="14" type="noConversion"/>
  </si>
  <si>
    <t>数据库备份检查</t>
    <phoneticPr fontId="14" type="noConversion"/>
  </si>
  <si>
    <t>数据库安全检查</t>
    <phoneticPr fontId="14" type="noConversion"/>
  </si>
  <si>
    <t>软件使用分析</t>
    <phoneticPr fontId="14" type="noConversion"/>
  </si>
  <si>
    <t>其他项检查</t>
    <phoneticPr fontId="14" type="noConversion"/>
  </si>
  <si>
    <t>重要</t>
    <phoneticPr fontId="14" type="noConversion"/>
  </si>
  <si>
    <t>轻微</t>
    <phoneticPr fontId="14" type="noConversion"/>
  </si>
  <si>
    <t>主机系统分析</t>
    <phoneticPr fontId="14" type="noConversion"/>
  </si>
  <si>
    <t>Health  Report</t>
    <phoneticPr fontId="14" type="noConversion"/>
  </si>
  <si>
    <t>Issue list</t>
    <phoneticPr fontId="14" type="noConversion"/>
  </si>
  <si>
    <t>No.</t>
    <phoneticPr fontId="14" type="noConversion"/>
  </si>
  <si>
    <t>问题描述及建议</t>
    <phoneticPr fontId="14" type="noConversion"/>
  </si>
  <si>
    <t>问题类别</t>
    <phoneticPr fontId="14" type="noConversion"/>
  </si>
  <si>
    <t>主机系统分析</t>
  </si>
  <si>
    <t>数据库实例分析</t>
  </si>
  <si>
    <t>其他项检查</t>
  </si>
  <si>
    <t>数据库安全检查</t>
  </si>
  <si>
    <t>数据库备份检查</t>
  </si>
  <si>
    <t>检查项</t>
    <phoneticPr fontId="14" type="noConversion"/>
  </si>
  <si>
    <t>DataGuard检查</t>
    <phoneticPr fontId="14" type="noConversion"/>
  </si>
  <si>
    <t>结果</t>
    <phoneticPr fontId="14" type="noConversion"/>
  </si>
  <si>
    <t>内存使用检查</t>
    <phoneticPr fontId="14" type="noConversion"/>
  </si>
  <si>
    <t>文件系统使用率</t>
  </si>
  <si>
    <t>文件系统使用率</t>
    <phoneticPr fontId="14" type="noConversion"/>
  </si>
  <si>
    <t>索引资源节点使用率</t>
  </si>
  <si>
    <t>索引资源节点使用率</t>
    <phoneticPr fontId="14" type="noConversion"/>
  </si>
  <si>
    <t>主机透明大页检查</t>
    <phoneticPr fontId="14" type="noConversion"/>
  </si>
  <si>
    <t>内核参数</t>
    <phoneticPr fontId="14" type="noConversion"/>
  </si>
  <si>
    <t>资源限制</t>
    <phoneticPr fontId="14" type="noConversion"/>
  </si>
  <si>
    <t>NUMA使用检查</t>
  </si>
  <si>
    <t>数据库状态检查</t>
    <phoneticPr fontId="14" type="noConversion"/>
  </si>
  <si>
    <t>表空间使用率</t>
  </si>
  <si>
    <t>表空间使用率</t>
    <phoneticPr fontId="14" type="noConversion"/>
  </si>
  <si>
    <t>影响</t>
    <phoneticPr fontId="14" type="noConversion"/>
  </si>
  <si>
    <t>CPU负载检查</t>
    <phoneticPr fontId="14" type="noConversion"/>
  </si>
  <si>
    <t>磁盘IO负载检查</t>
    <phoneticPr fontId="14" type="noConversion"/>
  </si>
  <si>
    <t>NUMA使用检查</t>
    <phoneticPr fontId="14" type="noConversion"/>
  </si>
  <si>
    <t>普通</t>
    <phoneticPr fontId="14" type="noConversion"/>
  </si>
  <si>
    <t>主机内核参数</t>
  </si>
  <si>
    <t>*************system parameter*************
set noexec_user_stack=1
set maxfastscan=0x2000
set ssd:ssd_io_time=0x3c
set ssd:ssd_max_throttle=32
set shmsys:shminfo_shmmax=536870912
set shmsys:shminfo_shmmni=256
set semsys:seminfo_semmni=256
set semsys:seminfo_semmsl=4096
set msgsys:msginfo_msgmap=16384
set msgsys:msginfo_msgmax=2097152
set msgsys:msginfo_msgmnb=134217728
set msgsys:msginfo_msgmni=8192
set msgsys:msginfo_msgssz=4096
set msgsys:msginfo_msgtql=131072
set msgsys:msginfo_msgseg=19712
set rlim_fd_max=100
set rlim_fd_cur=65536
set zfs:zfs_arc_max=53687091200
set disable_ism_large_pages=0xF4
set vxfs:vx_maxlink = 65534
set lwp_default_stksize=0xa000
set rpcmod:svc_default_stksize=0xa000
set panic_on_oops=1
*************network parameter (root)*************
57344
57344
*************system parameter*************
set noexec_user_stack=1
set maxfastscan=0x2000
set ssd:ssd_io_time=0x3c
set ssd:ssd_max_throttle=32
set shmsys:shminfo_shmmax=536870912
set shmsys:shminfo_shmmni=256
set semsys:seminfo_semmni=256
set semsys:seminfo_semmsl=4096
set msgsys:msginfo_msgmap=16384
set msgsys:msginfo_msgmax=2097152
set msgsys:msginfo_msgmnb=134217728
set msgsys:msginfo_msgmni=8192
set msgsys:msginfo_msgssz=4096
set msgsys:msginfo_msgtql=131072
set msgsys:msginfo_msgseg=19712
set rlim_fd_max=65536
set rlim_fd_cur=65536
set zfs:zfs_arc_max=53687091200
set disable_ism_large_pages=0xF1
set vxfs:vx_maxlink = 65534
set lwp_default_stksize=0xa000
set rpcmod:svc_default_stksize=0xa000
*************network parameter (root)*************
57344
57344</t>
  </si>
  <si>
    <t>主机资源限制</t>
  </si>
  <si>
    <t/>
  </si>
  <si>
    <t>CPU负载</t>
  </si>
  <si>
    <t>内存使用</t>
  </si>
  <si>
    <t>磁盘IO负载检查</t>
  </si>
  <si>
    <t>透明大页开启检查</t>
  </si>
  <si>
    <t>[always] state never</t>
  </si>
  <si>
    <t>主机大页使用检查</t>
  </si>
  <si>
    <t>NUMA turned off</t>
  </si>
  <si>
    <t>NTP时钟同步检查</t>
  </si>
  <si>
    <t>数据库名称
DB_UNIQUE_NAME</t>
  </si>
  <si>
    <t>TABLESPACE_NAME             MAXEXTEND(GB)        AllOCATED(GB)             USED(GB)         USED_RATE(%)
-------------------- -------------------- -------------------- -------------------- --------------------
APF_TBS                             6.060                 .548                 .509                8.400
APF_TBS_BK                          6.060                 .196                 .034                 .560
AUDIT_TS                            6.350                1.661                1.540               24.260
N_USERS                            12.110                3.615                3.443               28.430
CIM_LOB_DTS                        12.110                7.131               11.760               95.820
N_CIM_128K_DTS                     12.110               11.135               10.304               85.090
N_EAPDEV                           12.110                8.498                8.007               66.120
N_RLTDEV                           12.110                2.834                2.686               22.180
N_MCRDEV                           12.110                 .197                 .000                 .000
N_CIM_100M_ITS                     12.110                3.322                3.029               25.010
N_CIM_128K_ITS                     12.110                7.326                3.364               27.780
MCS_8M_DTS                         24.220                 .785                 .231                 .950
SYSAUX                             29.310                4.287                2.033                6.940
USERS                              32.000                 .164                 .155                 .480
SYSTEM                             32.000                 .820                 .810                2.530
UNDOTBS1                           32.000               24.067                1.597                4.990
N_CIM_1M_DTS                       42.240               35.212               34.155               80.860
N_APCDEV                           54.360               50.843               48.558               89.330
N_CIM_8M_ITS                      102.260               88.848               86.481               84.570
N_CIM_100M_DTS                    272.500              253.950              234.614               86.100
N_CIM_20M_ITS                     354.260              283.651              262.401               74.070
N_CIM_8M_DTS                      383.170              353.876              328.532               85.740
N_CIM_1M_ITS                      415.350              368.183              336.640               81.050</t>
  </si>
  <si>
    <t>数据文件大小检查</t>
  </si>
  <si>
    <t>FILE_NAME                                                              STATUS                   CUR_GB AUT               MAX_GB
---------------------------------------------------------------------- ---------- -------------------- --- --------------------
/apc2db_db/db_11g/APF_TBS01.dbf                                        AVAILABLE                  .550 YES                6.060
/apc2db_db/db_11g/APF_TBS_BK01.dbf                                     AVAILABLE                  .200 YES                6.060
/apc2db_db/db_11g/AUDIT_TS_01.dbf                                      AVAILABLE                 1.660 YES                6.350
/apc2db_db/db_11g/CIM_LOB_DTS_01.dbf                                   AVAILABLE                 3.910 YES                6.060
/apc2db_db/db_11g/CIM_LOB_DTS_02.dbf                                   AVAILABLE                 3.220 YES                6.060
/apc2db_db/db_11g/MCS_8M_DTS_01.dbf                                    AVAILABLE                  .200 YES                6.060
/apc2db_db/db_11g/MCS_8M_DTS_02.dbf                                    AVAILABLE                  .200 YES                6.060
/apc2db_db/db_11g/MCS_8M_DTS_03.dbf                                    AVAILABLE                  .200 YES                6.060
/apc2db_db/db_11g/MCS_8M_DTS_04.dbf                                    AVAILABLE                  .200 YES                6.060
/apc2db_db/db_11g/N_APCDEV01.dbf                                       AVAILABLE                 6.060 YES                6.060
/apc2db_db/db_11g/N_APCDEV02.dbf                                       AVAILABLE                 6.060 YES                6.060
/apc2db_db/db_11g/N_APCDEV03.dbf                                       AVAILABLE                 6.060 YES                6.060
/apc2db_db/db_11g/N_APCDEV04.dbf                                       AVAILABLE                 6.060 YES                6.060
/apc2db_db/db_11g/N_APCDEV05.dbf                                       AVAILABLE                 6.060 YES                6.060
/apc2db_db/db_11g/N_APCDEV06.dbf                                       AVAILABLE                 6.060 YES                6.060
/apc2db_db/db_11g/N_APCDEV07.dbf                                       AVAILABLE                 6.060 YES                6.060
/apc2db_db/db_11g/N_APCDEV08.dbf                                       AVAILABLE                 5.810 YES                5.910
/apc2db_db/db_11g/N_APCDEV09.dbf                                       AVAILABLE                 2.640 YES                6.060
/apc2db_db/db_11g/N_CIM_100M_DTS_01.dbf                                AVAILABLE                 6.060 YES                6.060
/apc2db_db/db_11g/N_CIM_100M_DTS_02.dbf                                AVAILABLE                 6.060 YES                6.060
/apc2db_db/db_11g/N_CIM_100M_DTS_03.dbf                                AVAILABLE                 6.060 YES                6.060
/apc2db_db/db_11g/N_CIM_100M_DTS_04.dbf                                AVAILABLE                 6.060 YES                6.060
/apc2db_db/db_11g/N_CIM_100M_DTS_05.dbf                                AVAILABLE                 6.060 YES                6.060
/apc2db_db/db_11g/N_CIM_100M_DTS_06.dbf                                AVAILABLE                 6.060 YES                6.060
/apc2db_db/db_11g/N_CIM_100M_DTS_07.dbf                                AVAILABLE                 6.060 YES                6.060
/apc2db_db/db_11g/N_CIM_100M_DTS_08.dbf                                AVAILABLE                 6.060 YES                6.060
/apc2db_db/db_11g/N_CIM_100M_DTS_09.dbf                                AVAILABLE                 6.060 YES                6.060
/apc2db_db/db_11g/N_CIM_100M_DTS_10.dbf                                AVAILABLE                 6.060 YES                6.060
/apc2db_db/db_11g/N_CIM_100M_DTS_11.dbf                                AVAILABLE                 6.060 YES                6.060
/apc2db_db/db_11g/N_CIM_100M_DTS_12.dbf                                AVAILABLE                 6.060 YES                6.060
/apc2db_db/db_11g/N_CIM_100M_DTS_13.dbf                                AVAILABLE                 6.060 YES                6.060
/apc2db_db/db_11g/N_CIM_100M_DTS_14.dbf                                AVAILABLE                 6.060 YES                6.060
/apc2db_db/db_11g/N_CIM_100M_DTS_15.dbf                                AVAILABLE                 6.060 YES                6.060
/apc2db_db/db_11g/N_CIM_100M_DTS_16.dbf                                AVAILABLE                 6.060 YES                6.060
/apc2db_db/db_11g/N_CIM_100M_DTS_17.dbf                                AVAILABLE                 6.060 YES                6.060
/apc2db_db/db_11g/N_CIM_100M_DTS_18.dbf                                AVAILABLE                 6.060 YES                6.060
/apc2db_db/db_11g/N_CIM_100M_DTS_19.dbf                                AVAILABLE                 6.060 YES                6.060
/apc2db_db/db_11g/N_CIM_100M_DTS_20.dbf                                AVAILABLE                 6.060 YES                6.060
/apc2db_db/db_11g/N_CIM_100M_DTS_21.dbf                                AVAILABLE                 6.060 YES                6.060
/apc2db_db/db_11g/N_CIM_100M_DTS_22.dbf                                AVAILABLE                 6.060 YES                6.060
/apc2db_db/db_11g/N_CIM_100M_DTS_23.dbf                                AVAILABLE                 6.060 YES                6.060
/apc2db_db/db_11g/N_CIM_100M_DTS_24.dbf                                AVAILABLE                 6.060 YES                6.060
/apc2db_db/db_11g/N_CIM_100M_DTS_25.dbf                                AVAILABLE                 6.060 YES                6.060
/apc2db_db/db_11g/N_CIM_100M_DTS_26.dbf                                AVAILABLE                 6.060 YES                6.060
/apc2db_db/db_11g/N_CIM_100M_DTS_27.dbf                                AVAILABLE                 6.060 YES                6.060
/apc2db_db/db_11g/N_CIM_100M_DTS_28.dbf                                AVAILABLE                 6.060 YES                6.060
/apc2db_db/db_11g/N_CIM_100M_DTS_29.dbf                                AVAILABLE                 6.060 YES                6.060
/apc2db_db/db_11g/N_CIM_100M_DTS_30.dbf                                AVAILABLE                 6.060 YES                6.060
/apc2db_db/db_11g/N_CIM_100M_DTS_31.dbf                                AVAILABLE                 6.060 YES                6.060
/apc2db_db/db_11g/N_CIM_100M_DTS_32.dbf                                AVAILABLE                 6.060 YES                6.060
/apc2db_db/db_11g/N_CIM_100M_DTS_33.dbf                                AVAILABLE                 6.060 YES                6.060
/apc2db_db/db_11g/N_CIM_100M_DTS_34.dbf                                AVAILABLE                 6.060 YES                6.060
/apc2db_db/db_11g/N_CIM_100M_DTS_35.dbf                                AVAILABLE                 6.060 YES                6.060
/apc2db_db/db_11g/N_CIM_100M_DTS_36.dbf                                AVAILABLE                 6.060 YES                6.060
/apc2db_db/db_11g/N_CIM_100M_DTS_37.dbf                                AVAILABLE                 6.060 YES                6.060
/apc2db_db/db_11g/N_CIM_100M_DTS_38.dbf                                AVAILABLE                 6.060 YES                6.060
/apc2db_db/db_11g/N_CIM_100M_DTS_39.dbf                                AVAILABLE                 6.060 YES                6.060
/apc2db_db/db_11g/N_CIM_100M_DTS_40.dbf                                AVAILABLE                 4.590 YES                6.060
/apc2db_db/db_11g/N_CIM_100M_DTS_41.dbf                                AVAILABLE                 4.590 YES                6.060
/apc2db_db/db_11g/N_CIM_100M_DTS_42.dbf                                AVAILABLE                 2.930 YES                6.060
/apc2db_db/db_11g/N_CIM_100M_DTS_43.dbf                                AVAILABLE                 2.930 YES                6.060
/apc2db_db/db_11g/N_CIM_100M_DTS_44.dbf                                AVAILABLE                 1.370 YES                6.060
/apc2db_db/db_11g/N_CIM_100M_DTS_45.dbf                                AVAILABLE                 1.370 YES                6.060
/apc2db_db/db_11g/N_CIM_100M_ITS_01.dbf                                AVAILABLE                 2.540 YES                6.060
/apc2db_db/db_11g/N_CIM_100M_ITS_02.dbf                                AVAILABLE                  .780 YES                6.060
/apc2db_db/db_11g/N_CIM_128K_DTS_01.dbf                                AVAILABLE                 5.760 YES                6.060
/apc2db_db/db_11g/N_CIM_128K_DTS_02.dbf                                AVAILABLE                 5.370 YES                6.060
/apc2db_db/db_11g/N_CIM_128K_ITS_01.dbf                                AVAILABLE                 3.810 YES                6.060
/apc2db_db/db_11g/N_CIM_128K_ITS_02.dbf                                AVAILABLE                 3.520 YES                6.060
/apc2db_db/db_11g/N_CIM_1M_DTS_01.dbf                                  AVAILABLE                 6.060 YES                6.060
/apc2db_db/db_11g/N_CIM_1M_DTS_02.dbf                                  AVAILABLE                 6.060 YES                6.060
/apc2db_db/db_11g/N_CIM_1M_DTS_03.dbf                                  AVAILABLE                 5.910 YES                5.910
/apc2db_db/db_11g/N_CIM_1M_DTS_04.dbf                                  AVAILABLE                 6.060 YES                6.060
/apc2db_db/db_11g/N_CIM_1M_DTS_05.dbf                                  AVAILABLE                 6.060 YES                6.060
/apc2db_db/db_11g/N_CIM_1M_DTS_06.dbf                                  AVAILABLE                 4.490 YES                6.060
/apc2db_db/db_11g/N_CIM_1M_DTS_07.dbf                                  AVAILABLE                  .590 YES                6.060
/apc2db_db/db_11g/N_CIM_1M_ITS_01.dbf                                  AVAILABLE                 6.060 YES                6.060
/apc2db_db/db_11g/N_CIM_1M_ITS_02.dbf                                  AVAILABLE                 6.060 YES                6.060
/apc2db_db/db_11g/N_CIM_1M_ITS_03.dbf                                  AVAILABLE                 6.060 YES                6.060
/apc2db_db/db_11g/N_CIM_1M_ITS_04.dbf                                  AVAILABLE                 6.060 YES                6.060
/apc2db_db/db_11g/N_CIM_1M_ITS_05.dbf                                  AVAILABLE                 6.060 YES                6.060
/apc2db_db/db_11g/N_CIM_1M_ITS_06.dbf                                  AVAILABLE                 6.060 YES                6.060
/apc2db_db/db_11g/N_CIM_1M_ITS_07.dbf                                  AVAILABLE                 6.060 YES                6.060
/apc2db_db/db_11g/N_CIM_1M_ITS_08.dbf                                  AVAILABLE                 6.060 YES                6.060
/apc2db_db/db_11g/N_CIM_1M_ITS_09.dbf                                  AVAILABLE                 6.060 YES                6.060
/apc2db_db/db_11g/N_CIM_1M_ITS_10.dbf                                  AVAILABLE                 6.060 YES                6.060
/apc2db_db/db_11g/N_CIM_1M_ITS_11.dbf                                  AVAILABLE                 6.060 YES                6.060
/apc2db_db/db_11g/N_CIM_1M_ITS_12.dbf                                  AVAILABLE                 6.060 YES                6.060
/apc2db_db/db_11g/N_CIM_1M_ITS_13.dbf                                  AVAILABLE                 6.060 YES                6.060
/apc2db_db/db_11g/N_CIM_1M_ITS_14.dbf                                  AVAILABLE                 6.060 YES                6.060
/apc2db_db/db_11g/N_CIM_1M_ITS_15.dbf                                  AVAILABLE                 6.060 YES                6.060
/apc2db_db/db_11g/N_CIM_1M_ITS_16.dbf                                  AVAILABLE                 6.060 YES                6.060
/apc2db_db/db_11g/N_CIM_1M_ITS_17.dbf                                  AVAILABLE                 6.060 YES                6.060
/apc2db_db/db_11g/N_CIM_1M_ITS_18.dbf                                  AVAILABLE                 6.060 YES                6.060
/apc2db_db/db_11g/N_CIM_1M_ITS_19.dbf                                  AVAILABLE                 6.060 YES                6.060
/apc2db_db/db_11g/N_CIM_1M_ITS_20.dbf                                  AVAILABLE                 6.060 YES                6.060
/apc2db_db/db_11g/N_CIM_1M_ITS_21.dbf                                  AVAILABLE                 6.060 YES                6.060
/apc2db_db/db_11g/N_CIM_1M_ITS_22.dbf                                  AVAILABLE                 6.060 YES                6.060
/apc2db_db/db_11g/N_CIM_1M_ITS_23.dbf                                  AVAILABLE                 6.060 YES                6.060
/apc2db_db/db_11g/N_CIM_1M_ITS_24.dbf                                  AVAILABLE                 6.060 YES                6.060
/apc2db_db/db_11g/N_CIM_1M_ITS_25.dbf                                  AVAILABLE                 6.060 YES                6.060
/apc2db_db/db_11g/N_CIM_1M_ITS_26.dbf                                  AVAILABLE                 6.060 YES                6.060
/apc2db_db/db_11g/N_CIM_1M_ITS_27.dbf                                  AVAILABLE                 6.060 YES                6.060
/apc2db_db/db_11g/N_CIM_1M_ITS_28.dbf                                  AVAILABLE                 6.060 YES                6.060
/apc2db_db/db_11g/N_CIM_1M_ITS_29.dbf                                  AVAILABLE                 6.060 YES                6.060
/apc2db_db/db_11g/N_CIM_1M_ITS_30.dbf                                  AVAILABLE                 6.060 YES                6.060
/apc2db_db/db_11g/N_CIM_1M_ITS_31.dbf                                  AVAILABLE                 6.060 YES                6.060
/apc2db_db/db_11g/N_CIM_1M_ITS_32.dbf                                  AVAILABLE                 6.060 YES                6.060
/apc2db_db/db_11g/N_CIM_1M_ITS_33.dbf                                  AVAILABLE                 6.060 YES                6.060
/apc2db_db/db_11g/N_CIM_1M_ITS_34.dbf                                  AVAILABLE                 6.060 YES                6.060
/apc2db_db/db_11g/N_CIM_1M_ITS_35.dbf                                  AVAILABLE                 6.060 YES                6.060
/apc2db_db/db_11g/N_CIM_1M_ITS_36.dbf                                  AVAILABLE                 6.060 YES                6.060
/apc2db_db/db_11g/N_CIM_1M_ITS_37.dbf                                  AVAILABLE                 6.060 YES                6.060
/apc2db_db/db_11g/N_CIM_1M_ITS_38.dbf                                  AVAILABLE                 6.060 YES                6.060
/apc2db_db/db_11g/N_CIM_1M_ITS_39.dbf                                  AVAILABLE                 6.060 YES                6.060
/apc2db_db/db_11g/N_CIM_1M_ITS_40.dbf                                  AVAILABLE                 5.910 YES                5.910
/apc2db_db/db_11g/N_CIM_1M_ITS_41.dbf                                  AVAILABLE                 5.910 YES                5.910
/apc2db_db/db_11g/N_CIM_1M_ITS_42.dbf                                  AVAILABLE                 5.910 YES                5.910
/apc2db_db/db_11g/N_CIM_1M_ITS_43.dbf                                  AVAILABLE                 6.060 YES                6.060
/apc2db_db/db_11g/N_CIM_1M_ITS_44.dbf                                  AVAILABLE                 6.060 YES                6.060
/apc2db_db/db_11g/N_CIM_1M_ITS_45.dbf                                  AVAILABLE                 5.910 YES                5.910
/apc2db_db/db_11g/N_CIM_1M_ITS_46.dbf                                  AVAILABLE                 5.910 YES                5.910
/apc2db_db/db_11g/N_CIM_1M_ITS_47.dbf                                  AVAILABLE                 6.060 YES                6.060
/apc2db_db/db_11g/N_CIM_1M_ITS_48.dbf                                  AVAILABLE                 6.060 YES                6.060
/apc2db_db/db_11g/N_CIM_1M_ITS_49.dbf                                  AVAILABLE                 6.060 YES                6.060
/apc2db_db/db_11g/N_CIM_1M_ITS_50.dbf                                  AVAILABLE                 6.060 YES                6.060
/apc2db_db/db_11g/N_CIM_1M_ITS_51.dbf                                  AVAILABLE                 5.910 YES                5.910
/apc2db_db/db_11g/N_CIM_1M_ITS_52.dbf                                  AVAILABLE                 5.910 YES                5.910
/apc2db_db/db_11g/N_CIM_1M_ITS_53.dbf                                  AVAILABLE                 5.910 YES                5.910
/apc2db_db/db_11g/N_CIM_1M_ITS_54.dbf                                  AVAILABLE                 5.910 YES                5.910
/apc2db_db/db_11g/N_CIM_1M_ITS_55.dbf                                  AVAILABLE                 5.910 YES                5.910
/apc2db_db/db_11g/N_CIM_1M_ITS_56.dbf                                  AVAILABLE                 5.910 YES                5.910
/apc2db_db/db_11g/N_CIM_1M_ITS_57.dbf                                  AVAILABLE                 5.420 YES                5.910
/apc2db_db/db_11g/N_CIM_1M_ITS_58.dbf                                  AVAILABLE                 5.420 YES                5.910
/apc2db_db/db_11g/N_CIM_1M_ITS_59.dbf                                  AVAILABLE                 3.570 YES                5.910
/apc2db_db/db_11g/N_CIM_1M_ITS_60.dbf                                  AVAILABLE                 3.470 YES                5.910
/apc2db_db/db_11g/N_CIM_1M_ITS_61.dbf                                  AVAILABLE                 1.320 YES                5.910
/apc2db_db/db_11g/N_CIM_1M_ITS_62.dbf                                  AVAILABLE                 1.320 YES                5.910
/apc2db_db/db_11g/N_CIM_1M_ITS_63.dbf                                  AVAILABLE                 1.470 YES                6.060
/apc2db_db/db_11g/N_CIM_1M_ITS_64.dbf                                  AVAILABLE                 1.470 YES                6.060
/apc2db_db/db_11g/N_CIM_1M_ITS_65.dbf                                  AVAILABLE                 1.470 YES                6.060
/apc2db_db/db_11g/N_CIM_1M_ITS_66.dbf                                  AVAILABLE                 1.470 YES                6.060
/apc2db_db/db_11g/N_CIM_1M_ITS_67.dbf                                  AVAILABLE                 1.470 YES                6.060
/apc2db_db/db_11g/N_CIM_1M_ITS_68.dbf                                  AVAILABLE                 1.470 YES                6.060
/apc2db_db/db_11g/N_CIM_1M_ITS_69.dbf                                  AVAILABLE                 1.370 YES                6.060
/apc2db_db/db_11g/N_CIM_20M_ITS_01.dbf                                 AVAILABLE                 6.060 YES                6.060
/apc2db_db/db_11g/N_CIM_20M_ITS_02.dbf                                 AVAILABLE                 6.060 YES                6.060
/apc2db_db/db_11g/N_CIM_20M_ITS_03.dbf                                 AVAILABLE                 6.060 YES                6.060
/apc2db_db/db_11g/N_CIM_20M_ITS_04.dbf                                 AVAILABLE                 6.060 YES                6.060
/apc2db_db/db_11g/N_CIM_20M_ITS_05.dbf                                 AVAILABLE                 6.060 YES                6.060
/apc2db_db/db_11g/N_CIM_20M_ITS_06.dbf                                 AVAILABLE                 6.060 YES                6.060
/apc2db_db/db_11g/N_CIM_20M_ITS_07.dbf                                 AVAILABLE                 6.060 YES                6.060
/apc2db_db/db_11g/N_CIM_20M_ITS_08.dbf                                 AVAILABLE                 6.060 YES                6.060
/apc2db_db/db_11g/N_CIM_20M_ITS_09.dbf                                 AVAILABLE                 6.060 YES                6.060
/apc2db_db/db_11g/N_CIM_20M_ITS_10.dbf                                 AVAILABLE                 6.060 YES                6.060
/apc2db_db/db_11g/N_CIM_20M_ITS_11.dbf                                 AVAILABLE                 6.060 YES                6.060
/apc2db_db/db_11g/N_CIM_20M_ITS_12.dbf                                 AVAILABLE                 6.060 YES                6.060
/apc2db_db/db_11g/N_CIM_20M_ITS_13.dbf                                 AVAILABLE                 6.060 YES                6.060
/apc2db_db/db_11g/N_CIM_20M_ITS_14.dbf                                 AVAILABLE                 6.060 YES                6.060
/apc2db_db/db_11g/N_CIM_20M_ITS_15.dbf                                 AVAILABLE                 6.060 YES                6.060
/apc2db_db/db_11g/N_CIM_20M_ITS_16.dbf                                 AVAILABLE                 6.060 YES                6.060
/apc2db_db/db_11g/N_CIM_20M_ITS_17.dbf                                 AVAILABLE                 6.060 YES                6.060
/apc2db_db/db_11g/N_CIM_20M_ITS_18.dbf                                 AVAILABLE                 6.060 YES                6.060
/apc2db_db/db_11g/N_CIM_20M_ITS_19.dbf                                 AVAILABLE                 6.060 YES                6.060
/apc2db_db/db_11g/N_CIM_20M_ITS_20.dbf                                 AVAILABLE                 6.060 YES                6.060
/apc2db_db/db_11g/N_CIM_20M_ITS_21.dbf                                 AVAILABLE                 6.060 YES                6.060
/apc2db_db/db_11g/N_CIM_20M_ITS_22.dbf                                 AVAILABLE                 6.060 YES                6.060
/apc2db_db/db_11g/N_CIM_20M_ITS_23.dbf                                 AVAILABLE                 6.060 YES                6.060
/apc2db_db/db_11g/N_CIM_20M_ITS_24.dbf                                 AVAILABLE                 6.060 YES                6.060
/apc2db_db/db_11g/N_CIM_20M_ITS_25.dbf                                 AVAILABLE                 6.060 YES                6.060
/apc2db_db/db_11g/N_CIM_20M_ITS_26.dbf                                 AVAILABLE                 6.060 YES                6.060
/apc2db_db/db_11g/N_CIM_20M_ITS_27.dbf                                 AVAILABLE                 6.060 YES                6.060
/apc2db_db/db_11g/N_CIM_20M_ITS_28.dbf                                 AVAILABLE                 6.060 YES                6.060
/apc2db_db/db_11g/N_CIM_20M_ITS_29.dbf                                 AVAILABLE                 6.060 YES                6.060
/apc2db_db/db_11g/N_CIM_20M_ITS_30.dbf                                 AVAILABLE                 6.060 YES                6.060
/apc2db_db/db_11g/N_CIM_20M_ITS_31.dbf                                 AVAILABLE                 6.060 YES                6.060
/apc2db_db/db_11g/N_CIM_20M_ITS_32.dbf                                 AVAILABLE                 6.060 YES                6.060
/apc2db_db/db_11g/N_CIM_20M_ITS_33.dbf                                 AVAILABLE                 6.060 YES                6.060
/apc2db_db/db_11g/N_CIM_20M_ITS_34.dbf                                 AVAILABLE                 6.060 YES                6.060
/apc2db_db/db_11g/N_CIM_20M_ITS_35.dbf                                 AVAILABLE                 6.060 YES                6.060
/apc2db_db/db_11g/N_CIM_20M_ITS_36.dbf                                 AVAILABLE                 6.060 YES                6.060
/apc2db_db/db_11g/N_CIM_20M_ITS_37.dbf                                 AVAILABLE                 6.060 YES                6.060
/apc2db_db/db_11g/N_CIM_20M_ITS_38.dbf                                 AVAILABLE                 6.060 YES                6.060
/apc2db_db/db_11g/N_CIM_20M_ITS_39.dbf                                 AVAILABLE                 6.060 YES                6.060
/apc2db_db/db_11g/N_CIM_20M_ITS_40.dbf                                 AVAILABLE                 5.910 YES                5.910
/apc2db_db/db_11g/N_CIM_20M_ITS_41.dbf                                 AVAILABLE                 5.910 YES                5.910
/apc2db_db/db_11g/N_CIM_20M_ITS_42.dbf                                 AVAILABLE                 5.910 YES                5.910
/apc2db_db/db_11g/N_CIM_20M_ITS_43.dbf                                 AVAILABLE                 5.910 YES                5.910
/apc2db_db/db_11g/N_CIM_20M_ITS_44.dbf                                 AVAILABLE                 5.420 YES                5.910
/apc2db_db/db_11g/N_CIM_20M_ITS_45.dbf                                 AVAILABLE                 5.420 YES                5.910
/apc2db_db/db_11g/N_CIM_20M_ITS_46.dbf                                 AVAILABLE                 3.610 YES                6.060
/apc2db_db/db_11g/N_CIM_20M_ITS_47.dbf                                 AVAILABLE                 3.610 YES                6.060
/apc2db_db/db_11g/N_CIM_20M_ITS_48.dbf                                 AVAILABLE                 3.610 YES                6.060
/apc2db_db/db_11g/N_CIM_20M_ITS_49.dbf                                 AVAILABLE                  .200 YES                5.860
/apc2db_db/db_11g/N_CIM_20M_ITS_50.dbf                                 AVAILABLE                  .200 YES                5.860
/apc2db_db/db_11g/N_CIM_20M_ITS_51.dbf                                 AVAILABLE                  .200 YES                5.860
/apc2db_db/db_11g/N_CIM_20M_ITS_52.dbf                                 AVAILABLE                  .200 YES                5.860
/apc2db_db/db_11g/N_CIM_20M_ITS_53.dbf                                 AVAILABLE                  .200 YES                5.860
/apc2db_db/db_11g/N_CIM_20M_ITS_54.dbf                                 AVAILABLE                  .200 YES                5.860
/apc2db_db/db_11g/N_CIM_20M_ITS_55.dbf                                 AVAILABLE                  .200 YES                5.860
/apc2db_db/db_11g/N_CIM_20M_ITS_56.dbf                                 AVAILABLE                  .200 YES                5.860
/apc2db_db/db_11g/N_CIM_20M_ITS_57.dbf                                 AVAILABLE                  .200 YES                5.860
/apc2db_db/db_11g/N_CIM_20M_ITS_58.dbf                                 AVAILABLE                  .200 YES                5.860
/apc2db_db/db_11g/N_CIM_20M_ITS_59.dbf                                 AVAILABLE                  .200 YES                5.860
/apc2db_db/db_11g/N_CIM_8M_DTS_01.dbf                                  AVAILABLE                 6.060 YES                6.060
/apc2db_db/db_11g/N_CIM_8M_DTS_02.dbf                                  AVAILABLE                 6.060 YES                6.060
/apc2db_db/db_11g/N_CIM_8M_DTS_03.dbf                                  AVAILABLE                 6.060 YES                6.060
/apc2db_db/db_11g/N_CIM_8M_DTS_04.dbf                                  AVAILABLE                 6.060 YES                6.060
/apc2db_db/db_11g/N_CIM_8M_DTS_05.dbf                                  AVAILABLE                 6.060 YES                6.060
/apc2db_db/db_11g/N_CIM_8M_DTS_06.dbf                                  AVAILABLE                 6.060 YES                6.060
/apc2db_db/db_11g/N_CIM_8M_DTS_07.dbf                                  AVAILABLE                 6.060 YES                6.060
/apc2db_db/db_11g/N_CIM_8M_DTS_08.dbf                                  AVAILABLE                 6.060 YES                6.060
/apc2db_db/db_11g/N_CIM_8M_DTS_09.dbf                                  AVAILABLE                 6.060 YES                6.060
/apc2db_db/db_11g/N_CIM_8M_DTS_10.dbf                                  AVAILABLE                 6.060 YES                6.060
/apc2db_db/db_11g/N_CIM_8M_DTS_11.dbf                                  AVAILABLE                 6.060 YES                6.060
/apc2db_db/db_11g/N_CIM_8M_DTS_12.dbf                                  AVAILABLE                 6.060 YES                6.060
/apc2db_db/db_11g/N_CIM_8M_DTS_13.dbf                                  AVAILABLE                 6.060 YES                6.060
/apc2db_db/db_11g/N_CIM_8M_DTS_14.dbf                                  AVAILABLE                 6.060 YES                6.060
/apc2db_db/db_11g/N_CIM_8M_DTS_15.dbf                                  AVAILABLE                 6.060 YES                6.060
/apc2db_db/db_11g/N_CIM_8M_DTS_16.dbf                                  AVAILABLE                 6.060 YES                6.060
/apc2db_db/db_11g/N_CIM_8M_DTS_17.dbf                                  AVAILABLE                 6.060 YES                6.060
/apc2db_db/db_11g/N_CIM_8M_DTS_18.dbf                                  AVAILABLE                 6.060 YES                6.060
/apc2db_db/db_11g/N_CIM_8M_DTS_19.dbf                                  AVAILABLE                 6.060 YES                6.060
/apc2db_db/db_11g/N_CIM_8M_DTS_20.dbf                                  AVAILABLE                 6.060 YES                6.060
/apc2db_db/db_11g/N_CIM_8M_DTS_21.dbf                                  AVAILABLE                 5.910 YES                5.910
/apc2db_db/db_11g/N_CIM_8M_DTS_22.dbf                                  AVAILABLE                 5.910 YES                5.910
/apc2db_db/db_11g/N_CIM_8M_DTS_23.dbf                                  AVAILABLE                 5.910 YES                5.910
/apc2db_db/db_11g/N_CIM_8M_DTS_24.dbf                                  AVAILABLE                 5.910 YES                5.910
/apc2db_db/db_11g/N_CIM_8M_DTS_25.dbf                                  AVAILABLE                 5.910 YES                5.910
/apc2db_db/db_11g/N_CIM_8M_DTS_26.dbf                                  AVAILABLE                 5.910 YES                5.910
/apc2db_db/db_11g/N_CIM_8M_DTS_27.dbf                                  AVAILABLE                 5.910 YES                5.910
/apc2db_db/db_11g/N_CIM_8M_DTS_28.dbf                                  AVAILABLE                 5.910 YES                5.910
/apc2db_db/db_11g/N_CIM_8M_DTS_29.dbf                                  AVAILABLE                 6.060 YES                6.060
/apc2db_db/db_11g/N_CIM_8M_DTS_30.dbf                                  AVAILABLE                 6.060 YES                6.060
/apc2db_db/db_11g/N_CIM_8M_DTS_31.dbf                                  AVAILABLE                 6.060 YES                6.060
/apc2db_db/db_11g/N_CIM_8M_DTS_32.dbf                                  AVAILABLE                 6.060 YES                6.060
/apc2db_db/db_11g/N_CIM_8M_DTS_33.dbf                                  AVAILABLE                 6.060 YES                6.060
/apc2db_db/db_11g/N_CIM_8M_DTS_34.dbf                                  AVAILABLE                 6.060 YES                6.060
/apc2db_db/db_11g/N_CIM_8M_DTS_35.dbf                                  AVAILABLE                 6.060 YES                6.060
/apc2db_db/db_11g/N_CIM_8M_DTS_36.dbf                                  AVAILABLE                 6.060 YES                6.060
/apc2db_db/db_11g/N_CIM_8M_DTS_37.dbf                                  AVAILABLE                 5.910 YES                5.910
/apc2db_db/db_11g/N_CIM_8M_DTS_38.dbf                                  AVAILABLE                 5.910 YES                5.910
/apc2db_db/db_11g/N_CIM_8M_DTS_39.dbf                                  AVAILABLE                 5.910 YES                5.910
/apc2db_db/db_11g/N_CIM_8M_DTS_40.dbf                                  AVAILABLE                 5.910 YES                5.910
/apc2db_db/db_11g/N_CIM_8M_DTS_41.dbf                                  AVAILABLE                 5.910 YES                5.910
/apc2db_db/db_11g/N_CIM_8M_DTS_42.dbf                                  AVAILABLE                 5.910 YES                5.910
/apc2db_db/db_11g/N_CIM_8M_DTS_43.dbf                                  AVAILABLE                 6.060 YES                6.060
/apc2db_db/db_11g/N_CIM_8M_DTS_44.dbf                                  AVAILABLE                 6.060 YES                6.060
/apc2db_db/db_11g/N_CIM_8M_DTS_45.dbf                                  AVAILABLE                 6.060 YES                6.060
/apc2db_db/db_11g/N_CIM_8M_DTS_46.dbf                                  AVAILABLE                 5.910 YES                5.910
/apc2db_db/db_11g/N_CIM_8M_DTS_47.dbf                                  AVAILABLE                 5.910 YES                5.910
/apc2db_db/db_11g/N_CIM_8M_DTS_48.dbf                                  AVAILABLE                 5.960 YES                5.960
/apc2db_db/db_11g/N_CIM_8M_DTS_49.dbf                                  AVAILABLE                 5.960 YES                5.960
/apc2db_db/db_11g/N_CIM_8M_DTS_50.dbf                                  AVAILABLE                 5.960 YES                5.960</t>
  </si>
  <si>
    <t>控制文件检查</t>
  </si>
  <si>
    <t>/apc2db_db/CTL_11g/control01.ctl</t>
  </si>
  <si>
    <t>数据库用户大小</t>
  </si>
  <si>
    <t>OWNER                          USER_SIZE_GB
------------------------------ ------------
APCDEV                                48.57
APPQOSSYS                               .00
AUDSYS                                  .00
CIMMGR                              1309.13
DBSFWUSER                               .00
DBSNMP                                  .00
EAPDEV                                  .86
F1MCSAPP                                .01
F2ISSUETAG                             7.08
GSMADMIN_INTERNAL                       .01
MCSAPP                                  .06
MCSMGR                                  .23
ORAAUD                                  .15
OUTLN                                   .00
PERFSTAT9I                              .00
RLTDEV                                 2.69
RTDELT                                  .03
RTDUSER                                 .51
SYS                                    5.89
SYSTEM                                  .03
VCSUSER                                 .00
WMSYS                                   .01
WSSAPP                                  .21
XDB                                     .04</t>
  </si>
  <si>
    <t>REDO文件性能检查</t>
  </si>
  <si>
    <t>GROUP#              THREAD#            SEQUENCE#                   MB ARC STATUS
-------------------- -------------------- -------------------- -------------------- --- ----------
               6.000                1.000              266.000              400.000 YES INACTIVE
               7.000                1.000              267.000              400.000 YES INACTIVE
               8.000                1.000              268.000              400.000 NO  CURRENT
               9.000                1.000              264.000              400.000 YES INACTIVE
              10.000                1.000              265.000              400.000 YES INACTIVE</t>
  </si>
  <si>
    <t>归档切换检查</t>
  </si>
  <si>
    <t>DT         DY      Total  h0  h1  h2  h3  h4  h5  h6  h7  h8  h9 h10 h11 h12 h13 h14 h15 h16 h17 h18 h19 h20 h21 h22 h23
---------- ------- ----- --- --- --- --- --- --- --- --- --- --- --- --- --- --- --- --- --- --- --- --- --- --- --- ---
2023-03-04 Sat        114  23  13  32  31  35  45  20  30  20  33  45  0   0   0   0   0   0   0   0   0   0   0
2023-03-06 Mon         1   1   0   0   0   0   0   0   0   0   0   0   0   0   0   0   0   0   0   0   0   0   0   0   0
2023-03-08 Wed         1   1   0   0   0   0   0   0   0   0   0   0   0   0   0   0   0   0   0   0   0   0   0   0   0
2023-03-10 Fri         1   0   0   0   0   0   0   0   0   1   0   0   0   0   0   0   0   0   0   0   0   0   0   0   0
2023-03-12 Sun         1   0   0   0   0   0   0   1   0   0   0   0   0   0   0   0   0   0   0   0   0   0   0   0   0
2023-03-14 Tue         1   0   0   0   0   0   0   0   0   0   1   0   0   0   0   0   0   0   0   0   0   0   0   0   0
2023-03-16 Thu         1   0   0   0   0   0   0   0   0   0   0   0   1   0   0   0   0   0   0   0   0   0   0   0   0
2023-03-18 Sat         1   0   0   0   0   0   0   0   0   0   0   0   0   0   0   0   0   1   0   0   0   0   0   0   0</t>
  </si>
  <si>
    <t>数据库资源使用限制检查</t>
  </si>
  <si>
    <t>INST_ID RESOURCE_NAME                  CURRENT_UTILIZATION MAX_UTILIZATION LIMIT_VALUE
------- ------------------------------ ------------------- --------------- ---------------
      1 processes                                     2495            2499       2500
      1 sessions                                       340             474       3776
      1 ges_procs                                        0               0          0
      1 ges_rsv_msgs                                     0               0          0
      1 parallel_max_servers                             6               6      32767</t>
  </si>
  <si>
    <t>数据库性能负载分析</t>
  </si>
  <si>
    <t>Load Profile                    Per Second   Per Transaction  Per Exec  Per Call
~~~~~~~~~~~~~~~            ---------------   --------------- --------- ---------
             DB Time(s):               0.0               0.0      0.00      0.01
              DB CPU(s):               0.0               0.0      0.00      0.00
      Background CPU(s):               0.0               0.5      0.02      0.00
      Redo size (bytes):      31,111,576.3          36,932.7
  Logical read (blocks):              73.9           1,731.3
          Block changes:               7.2             169.1
 Physical read (blocks):               0.0               0.1
Physical write (blocks):               0.6              14.3
       Read IO requests:               0.0               0.1
      Write IO requests:               0.3               6.0
           Read IO (MB):               0.0               0.0
          Write IO (MB):               0.0               0.1
           IM scan rows:               0.0               0.0
Session Logical Read IM:               0.0               0.0
             User calls:               0.2               4.6
           Parses (SQL):               1.1              25.1
      Hard parses (SQL):               0.0               0.9
     SQL Work Area (MB):               0.0               0.3
                 Logons:              30.0               0.1
            User logons:               0.0               0.0
         Executes (SQL):               1.1              25.9
              Rollbacks:               0.0               0.9
           Transactions:               0.0</t>
  </si>
  <si>
    <t>数据库性能运行效率</t>
  </si>
  <si>
    <t>Instance Efficiency Percentages (Target 100%)
~~~~~~~~~~~~~~~~~~~~~~~~~~~~~~~~~~~~~~~~~~~~~
            Buffer Nowait %:   60.00       Redo NoWait %:   60.00
            Buffer  Hit   %:   60.00    In-memory Sort %:  100.00
            Library Hit   %:   65.94        Soft Parse %:   66.55
         Execute to Parse %:    2.81         Latch Hit %:   99.93
Parse CPU to Parse Elapsd %:   53.85     % Non-Parse CPU:   99.95
          Flash Cache Hit %:    0.00</t>
  </si>
  <si>
    <t>数据库Top等待</t>
  </si>
  <si>
    <t>Top 10 Foreground Events by Total Wait Time
~~~~~~~~~~~~~~~~~~~~~~~~~~~~~~~~~~~~~~~~~~~
                                           Total Wait       Avg   % DB Wait
Event                                Waits Time (sec)      Wait   time Class
------------------------------ ----------- ---------- --------- ------ --------
SQL*Net message from dblink          1,310        7.3    5.55ms   65.1 Network
DB CPU                                            3.9             35.3
log file sync                            9         .4   46.00ms    3.7 Commit
SQL*Net break/reset to client          524         .1  228.04us    1.1 Applicat
SQL*Net break/reset to dblink          262          0   16.21us     .0 Applicat
PGA memory operation                    69          0   16.13us     .0 Other
SQL*Net message to dblink              786          0  922.39ns     .0 Network
SQL*Net message to client              786          0  745.55ns     .0 Network
Disk file operations I/O                 1          0    7.00us     .0 User I/O
ADR block file read                      0          0               .0 Other</t>
  </si>
  <si>
    <t>数据库Top SQL(耗时)</t>
  </si>
  <si>
    <t>监听状态及日志检查</t>
  </si>
  <si>
    <t>....</t>
  </si>
  <si>
    <t>并行度&gt;1的表</t>
  </si>
  <si>
    <t>并行度&gt;1的索引</t>
  </si>
  <si>
    <t>OWNER                          TABLE_NAME                     INDEX_NAME                               DEGREE     STATUS
------------------------------ ------------------------------ ---------------------------------------- ---------- --------
APCDEV                         APC_ASML_SPEC_HIS_TABLE        INX_APC_ASML_SPEC_HIS_TABLE              3          VALID
APCDEV                         APC_ASML_SPEC_TABLE            PK_APC_ASML_SPEC_TABLE                   3          VALID
APCDEV                         APC_CANON_SPEC_HIS_TABLE       INX_APC_CANON_HIS_TABLE                  3          VALID
APCDEV                         APC_CANON_SPEC_TABLE           PK_APC_CANON_SPEC_TABLE                  3          VALID
APCDEV                         APC_CONSTANT_TABLE             PK_APC_CONSTANT_TABLE                    3          VALID
APCDEV                         APC_GUI_ACTIVE_VERSION         PK_APC_GUI_ACTIVE_VERSION                3          VALID
APCDEV                         APC_OFFSET_CANON               PK_APC_OFFSET_CANON                      3          VALID
APCDEV                         APC_OFFSET_TABLE               PK_APC_OFFSET_TABLE                      3          VALID
APCDEV                         APC_PROD_LAYER_INFO            PK_PROD_LAYER                            3          VALID
APCDEV                         APC_SPEC_CONSTANT_TABLE        INX_APC_SPEC_CONSTANT_TABLE              3          VALID
APCDEV                         APC_USER_GROUP                 PK_APC_USER_GROUP                        3          VALID
APCDEV                         EQP_SSC_TABLE                  PK_EQP_SSC_TABLE                         3          VALID
APCDEV                         EQP_SSC_TREND_TABLE            PK_EQP_SSC_TREND_TABLE                   3          VALID
APCDEV                         EXPTOOLID_OVL_TABLE            PK_EQP                                   3          VALID
APCDEV                         EXPTOOLID_TABLE                EXPTOOLID_TABLE_NO_CONSTR                3          VALID
APCDEV                         FOCUS_RETICLE_TABLE            PK_FOCUS_RETICLE                         3          VALID
APCDEV                         FOCUS_TABLE                    PK_FOCUS_TABLE                           3          VALID
APCDEV                         LAYER_EDCPLAN_RELATION         LAYER_EDC_UNI                            3          VALID
APCDEV                         LOGI_PROCESS_MS_REPORT         PROD_LAYER                               3          VALID
APCDEV                         LOGI_PROCESS_MS_REPORT         INX_SYSID                                3          VALID
APCDEV                         LOGI_PROCESS_MS_REPORT         LOGILOT_UNIQUE                           3          VALID
APCDEV                         LOOK_UP_TABLE                  PK_LOOK_UP_TABLE                         3          VALID
APCDEV                         LOT_OVL_PIE_TABLE              PK_LOT_OVL_PIE_TABLE                     3          VALID
APCDEV                         OVL_PIE_TABLE_2017BAK          OVL_PIE_INDEX_1                          3          VALID
APCDEV                         OVL_PIE_TABLE_2017BAK          PK_OVL_PIE_TABLE                         3          VALID
APCDEV                         OVL_PRODUCTION_DATA_CANON      INX_OVL_PRODUCTION_DATA_CANON            3          VALID
APCDEV                         PCMBX_ALL_TABLE                PK_PCMBX                                 3          VALID
APCDEV                         PROCESS_CONDITION_CANON        INX_PROCESS_CONDITION_CANON              3          VALID
APCDEV                         PROCESS_INIT_OVL_TABLE         PK_PROCESS_INIT_OVL_TABLE                3          VALID
APCDEV                         PROCESS_INIT_TABLE             PK_PROCESS_INIT_TABLE                    3          VALID
APCDEV                         PROCESS_OVL_REPORT             PK_PROCESS_OVL_REPORT                    3          VALID
APCDEV                         PROCESS_OVL_REPORT             PROCESS_OVL_INDEX1                       3          VALID
APCDEV                         PROCESS_OVL_REPORT             PROD_LAYER_LOTID                         3          VALID
APCDEV                         PROCESS_OVL_REPORT             PROCESS_OVL_REPORT_INX1                  3          VALID
APCDEV                         PRODUCT_TABLE                  PK_PRODUCT_TABLE                         3          VALID
APCDEV                         PROD_OVL_LOOKUP_TABLE          PK_PROD_OVL_LOOKUP_TABLE                 3          VALID
APCDEV                         REWORK_LOT_KEYIN_CANON         PK_REWORK_CANON                          3          VALID
APCDEV                         REWORK_LOT_KEYIN_TABLE         PK_REWORK                                3          VALID
APCDEV                         SCANNER_MONITOR_CANON          PK_SCANNER_MONITOR_CANON                 3          VALID
APCDEV                         SCANNER_MONITOR_TABLE          PK_SCANNER_MONITOR_TABLE                 3          VALID
APCDEV                         SCANNER_PM_TABLE               PK_SCANNER_PM_TABLE                      3          VALID
APCDEV                         SCANNER_STATUS_CANON           PK_SCANNER_STATUS_CANON                  3          VALID
APCDEV                         SCANNER_STATUS_TABLE           PK_SCANNER_STATUS_TABLE                  3          VALID
CIMMGR                         CIM_GROUPS                     PK_CIM_GROUPS                            3          VALID
CIMMGR                         CIM_SYSTEMS                    PK_CIM_SYSTEMS                           3          VALID
CIMMGR                         CIM_SYS_ENTITIES               PK_CIM_SYS_ENTITIES                      3          VALID
CIMMGR                         CIM_SYS_FUNCTIONS              PK_CIM_SYS_FUNCTIONS                     3          VALID
CIMMGR                         CIM_USERS                      PK_CIM_USERS                             3          VALID
CIMMGR                         CIM_USER_GROUPS                PK_CIM_USER_GROUPS                       3          VALID
CIMMGR                         EAP_CFG_GLOBAL_FAB             PK_EAP_CFG_GLOBAL_FAB                    3          VALID
CIMMGR                         EAP_CFG_MODEL_EQP              EAP_CFG_MODEL_EQP_INDEX1                 3          VALID
CIMMGR                         EAP_CFG_MODEL_EQP              PK_EAP_CFG_MODEL_EQP                     3          VALID
CIMMGR                         EAP_CFG_MODEL_EQPTYPE          PK_EAP_CFG_MODEL_EQPTYPE                 3          VALID
CIMMGR                         EAP_CFG_SECONDEQ_EQP           PK_EAP_CFG_SECONDEQ_EQP                  3          VALID
CIMMGR                         EAP_CFG_SERVER_FAB             PK_EAP_CFG_SERVER_FAB                    3          VALID
CIMMGR                         EAP_CFG_WORKSTATION            PK_EAP_CFG_WORKSTATION                   3          VALID
CIMMGR                         EAP_CFG_SMIF                   PK_EAP_CFG_SMIF                          3          VALID
CIMMGR                         EAP_CFG_SERVER                 PK_EAP_CFG_SERVER                        3          VALID
CIMMGR                         RMS_DRAFT_RECIPE_SPEC          PK_RMS_DRAFT_RECIPE_SPEC                 3          VALID
CIMMGR                         RMS_RECIPE_COMPARE_TYPE        PK_RMS_RECIPE_COMPARE_TYPE               3          VALID
CIMMGR                         RMS_RECIPE_FORMAT              PK_RMS_RECIPE_FORMAT                     3          VALID
CIMMGR                         RMS_RECORD_LOCK                PK_RMS_RECORD_LOCK                       3          VALID
CIMMGR                         RMS_RECIPE_MISMATCH_HISTORY    PK_RMS_RECIPE_MISMATCH_HISTORY           3          VALID
CIMMGR                         EMS_PARANAME_TABLE             UK_PARA_INX                              3          VALID
CIMMGR                         EMS_PARANAME_TABLE             PK_EMS_PARANAME_TABLE                    3          VALID
CIMMGR                         EMS_SPEC_TABLE                 PK_EMS_SPEC_TABLE                        3          VALID
CIMMGR                         EMS_SPEC_TABLE                 EMS_SPEC_INDEX1                          3          VALID
CIMMGR                         EMS_SPEC_TABLE                 EMS_SPEC_INDEX2                          3          VALID
CIMMGR                         EMS_SPEC_HISTORY_TABLE         EMS_SPEC_HISTORY_INDEX1                  3          VALID
CIMMGR                         ELS_EQP_INFO                   PK_ELS_EQP_INFO                          3          VALID
CIMMGR                         WRC_USER_ATTRIBUTE             PK_WRC_USER_ATTRIBUTE                    3          VALID
CIMMGR                         WRC_TANK_STATUS                PK_WRC_TANK_STATUS                       3          VALID
CIMMGR                         WRC_RECIPE_TANK                PK_WRC_RECIPE_TANK                       3          VALID
CIMMGR                         WRC_RECIPE_STATUS              PK_WRC_RECIPE_STATUS                     3          VALID
CIMMGR                         RMS_KEYWORDS_FILTER            PK_RMS_KEYWORDS_FILTER                   3          VALID
CIMMGR                         RCP_RECP_RECPGROUP             PK_RCP_RECP_RECPGROUP                    3          VALID
CIMMGR                         RCP_RECP_EXCEPTION             RECP_EXCEPTION                           3          VALID
CIMMGR                         RCP_RECPGROUP_LIST             PK_RCP_RECPGROUP_LIST                    3          VALID
CIMMGR                         RCP_IMP_RECIPE                 PK_PROD_STEQ_STAGE_RECIPE                3          VALID
CIMMGR                         RCP_IMP_INFO                   PK_PROD_STEPSEQ                          3          VALID
CIMMGR                         RCP_EQP_RECPGROUP              CHAM_RECPGRP                             3          VALID
CIMMGR                         RCP_CHAMBER_EQPTYPE            PK_RCP_CHAMBER_EQPTYPE                   3          VALID
CIMMGR                         EQP_PARMSPEC_TABLE_LOG         PK_EQP_PARMSPEC_TABLE_LOG                3          VALID
CIMMGR                         EQP_PARMSPEC_TABLE             PK_EQP_PARMSPEC_TABLE                    3          VALID
CIMMGR                         EAP_MON_LOT_ATTRIBUTES         PK_EAP_MON_LOT_ATTRIBUTES                3          VALID
CIMMGR                         EAP_MON_EQP_ATTRIBUTES         PK_EAP_MON_EQP_ATTRIBUTES                3          VALID
CIMMGR                         ELS_OVL_TABLE                  PK_ELS_OVL_TABLE                         3          VALID
CIMMGR                         SCS_USER_ENTITY_PRIVS          PK_SCS_USER_ENTITY_PRIVS                 3          VALID
CIMMGR                         SCS_USER_SYS_PRIVS             PK_SCS_USER_SYS_PRIVS                    3          VALID
CIMMGR                         RMS_RECIPE_BODY                PK_RMS_RECIPE_BODY                       3          VALID
CIMMGR                         RMS_RECIPE_SPEC                PK_RMS_RECIPE_SPEC                       3          VALID
CIMMGR                         ELS_DYNAMIC_TABLE              PK_ELS_DYNAMIC_TABLE                     3          VALID
CIMMGR                         ELS_DYNAMIC_TABLE              LASTMODIFY_INDX                          3          VALID
CIMMGR                         ELS_DYNAMIC_TABLE              ELS_DYNAMIC_LOTID_INDEX                  3          VALID
CIMMGR                         ELS_DUV_TABLE                  PK_ELS_DUV_TABLE                         3          VALID
CIMMGR                         WSS_RULE_LOG                   WSS_RULE_LOG_INX1                        3          VALID
CIMMGR                         WSS_RULE_LOG                   WSS_RULE_LOG_INX2                        3          VALID
CIMMGR                         WSS_RULE_INFO                  WSS_RULE_INFO_INX1                       3          VALID
CIMMGR                         WSS_RULE_DETAIL                WSS_RULE_DETAIL_INX1                     3          VALID
CIMMGR                         WSS_REPLY_LOG                  WSS_REPLY_LOG_INX1                       3          VALID
CIMMGR                         WSS_REPLY_LOG                  WSS_REPLY_LOG_INX2                       3          VALID
CIMMGR                         PCC_PARA_SPEC                  PK_PCC_PARA_SPEC                         3          VALID
CIMMGR                         PCC_PARA_INFO                  PK_PCC_PARA_INFO                         3          VALID
CIMMGR                         PCC_PARA_INFO                  UNQ_PCC_PARA_INFO                        3          VALID
CIMMGR                         ELS_CDSEM_TABLE                PK_ELS_CDSEM_TABLE                       3          VALID
CIMMGR                         ELS_ADI_TABLE                  PK_ELS_ADI_TABLE                         3          VALID
CIMMGR                         EAP_MON_SPEC_MAPPING           PK_EAP_MON_SPEC_MAPPING                  3          VALID
CIMMGR                         EAP_MON_FLOW_SPEC              PK_EAP_MON_FLOW_SPEC                     3          VALID
WSSAPP                         WSS_REPLY_LOG                  WSS_REPLY_LOG_INX1                       3          VALID
WSSAPP                         WSS_REPLY_LOG                  WSS_REPLY_LOG_INX2                       3          VALID
WSSAPP                         WSS_RULE_DETAIL                WSS_RULE_DETAIL_INX1                     3          VALID
WSSAPP                         WSS_RULE_INFO                  WSS_RULE_INFO_INX1                       3          VALID
WSSAPP                         WSS_RULE_LOG                   WSS_RULE_LOG_INX1                        3          VALID
WSSAPP                         WSS_RULE_LOG                   WSS_RULE_LOG_INX2                        3          VALID
EAPDEV                         EQP_ETCHRATERECIPE_TABLE       PK_EQP_ETCHRATERECIPE_TABLE              3          VALID
EAPDEV                         EQP_METROLOGY_RECIPE_TABLE     PK_EQP_METROLOGY_RECIPE_TABLE            3          VALID
EAPDEV                         EQP_PROCESS_PROD_TABLE         PK_EQP_PROCESS_PROD_TABLE                3          VALID
EAPDEV                         EQP_PROCESS_RECIPE_TABLE       PK_EQP_PROCESS_RECIPE_TABLE              3          VALID
EAPDEV                         SORTER_USER_TABLE              PK_SORTER_USER_TABLE                     3          VALID
F1MCSAPP                       OST_DAILY                      OST_DAILY_INDEX                          3          VALID
F1MCSAPP                       OST_DETAIL                     OST_DETAIL_INDEX                         3          VALID
F1MCSAPP                       SCARREJECTLOT_DETAIL           SCARREJECTLOT_DETAIL_INDEX               3          VALID
F1MCSAPP                       SCARTIMEOUT_INFO_DETAIL        SCARTIMEOUT_INFO_DETAIL_INDEX            3          VALID
F2ISSUETAG                     ISSUETAG_DETAIL                ISSUETAG_DETAIL_INDEX1                   3          VALID
MCSAPP                         OST_DAILY                      OST_DAILY_INDEX                          3          VALID
MCSAPP                         OST_DETAIL                     OST_DETAIL_INDEX                         3          VALID
MCSAPP                         SCARREJECTLOT_DETAIL           SCARREJECTLOT_DETAIL_INDEX               3          VALID
MCSAPP                         SCARTIMEOUT_INFO_DETAIL        SCARTIMEOUT_INFO_DETAIL_INDEX            3          VALID
RLTDEV                         EQP_HISTORY_TABLE              EQP_HISTORY_TABLE_INDEX1                 3          VALID
CIMMGR                         PCC_PARA_MULTISPEC             PK_PCC_PARA_MULTISPEC                    3          VALID
APCDEV                         OVL_PIE_TABLE_BK               OVL_PIE_INDEX22                          3          VALID
CIMMGR                         EMS_LIMIT_CONFIG_TABLE         PK_EMS_LIMIT_CONFIG_TABLE                3          VALID
WSSAPP                         WSS_RESULT_HISTORY             WSS_RESULT_HISTORY_INX1                  3          VALID
WSSAPP                         WSS_RESULT_HISTORY             WSS_RESULT_HISTORY_INX2                  3          VALID
APCDEV                         REWORK_LOT_KEYIN_NIKON         PK_REWORK_NIKON                          3          VALID
APCDEV                         OVL_PIE_TABLE                  OVL_PIE_INDEX_MID_1                      3          VALID
APCDEV                         OVL_PIE_TABLE                  PK_OVL_PIE_TABLE_MID                     3          VALID
CIMMGR                         EMS_AMAT_CENTURA_DATA          EMS_AMAT_CENTURA_D_IX2                   2          N/A
CIMMGR                         EMS_AMAT_CENTURA_OODATA        PK_EMS_AMAT_CENTURA_WAFERINX             2          N/A
CIMMGR                         EMS_AMAT_DPS_METAL_DATA        EMS_DPS_METAL_D_IX2                      2          N/A
CIMMGR                         EMS_AMAT_DPS_METAL_OODATA      PK_EMS_AMAT_DPS_METAL_INX                2          N/A
CIMMGR                         EMS_AMAT_DPS_POLY_DATA         EMS_AMAT_DPS_POLY_D_IX2                  2          N/A
CIMMGR                         EMS_AMAT_DPS_POLY_OODATA       PK_EMS_AMAT_DPS_POLY_INX                 2          N/A
CIMMGR                         EMS_AMAT_EMAX_DATA             EMS_AMAT_EMAX_D_IX2                      2          N/A
CIMMGR                         EMS_AMAT_EMAX_OODATA           PK_EMS_AMAT_EMAX_WAFERINX                2          N/A
CIMMGR                         EMS_AMAT_ENDURA_DATA           EMS_AMAT_ENDURA_D_IX2                    2          N/A
CIMMGR                         EMS_AMAT_ENDURA_OODATA         PK_EMS_AMAT_ENDURA_WAFERINX              2          N/A
CIMMGR                         EMS_AMAT_MIRRA_DATA            EMS_AMAT_MIRRA_D_IX2                     2          N/A
CIMMGR                         EMS_AMAT_MIRRA_OODATA          PK_EMS_AMAT_MIRRA_WAFERINX               2          N/A
CIMMGR                         EMS_AMAT_PRODUCER_DATA         EMS_AMAT_PRODUCER_D_IX2                  2          N/A
CIMMGR                         EMS_AMAT_PRODUCER_OODATA       PK_EMS_AMAT_PRODUCER_WAFERINX            2          N/A
CIMMGR                         EMS_AMAT_QUANTUM_DATA          EMS_AMAT_QUANTUM_D_IX2                   2          N/A
CIMMGR                         EMS_AMAT_QUANTUM_LEAP_DATA     EMS_AMAT_QUANTUM_LEAP_D_IX2              2          N/A
CIMMGR                         EMS_AMAT_QUANTUM_LEAP_OODATA   PK_EMS_AMAT_QUANTUM_LEAP_INX             2          N/A
CIMMGR                         EMS_AMAT_QUANTUM_OODATA        PK_EMS_AMAT_QUANTUM_WAFERINX             2          N/A
CIMMGR                         EMS_AMAT_RTP_DATA              EMS_AMAT_RTP_D_IX2                       2          N/A
CIMMGR                         EMS_AMAT_RTP_OODATA            PK_EMS_AMAT_RTP_WAFERINX                 2          N/A
CIMMGR                         EMS_AMAT_SUPERE_DATA           EMS_AMAT_SUPERE_D_IX2                    2          N/A
CIMMGR                         EMS_AMAT_SUPERE_OODATA         PK_EMS_AMAT_SUPERE_WAFERINX              2          N/A
CIMMGR                         EMS_ASML_INLINE_1400_DATA      EMS_ASML_INLINE_1400_D_IX2               2          N/A
CIMMGR                         EMS_ASML_INLINE_1400_OODATA    PK_EMS_ASML_INLINE_1400_INX              2          N/A
CIMMGR                         EMS_ASML_INLINE_DATA           EMS_ASML_INLINE_D_IX2                    2          N/A
CIMMGR                         EMS_ASML_INLINE_OODATA         PK_EMS_ASML_INLINE_WAFERINX              2          N/A
CIMMGR                         EMS_ASM_FURNACE_DATA           EMS_ASM_FURNACE_D_IX2                    2          N/A
CIMMGR                         EMS_ASM_FURNACE_OODATA         PK_EMS_ASM_FURNACE_WAFERINX              2          N/A
CIMMGR                         EMS_AXCELIS_GEMINI_DATA        EMS_AXCELIS_GEMINI_D_IX2                 2          N/A
CIMMGR                         EMS_AXCELIS_GEMINI_OODATA      PK_EMS_AXCELIS_GEMINI_INX                2          N/A
CIMMGR                         EMS_AXCELIS_GSD200E2_DATA      EMS_AXCELIS_GSD200E2_D_IX2               2          N/A
CIMMGR                         EMS_AXCELIS_GSD200E2_OODATA    PK_EMS_AXCELIS_GSD200E2_INX              2          N/A
CIMMGR                         EMS_AXCELIS_XE_DATA            EMS_AXCELIS_XE_D_IX2                     2          N/A
CIMMGR                         EMS_CANON_INLINE_DATA          EMS_CANON_INLINE_D_IX2                   2          N/A
CIMMGR                         EMS_CANON_INLINE_OODATA        PK_EMS_CANON_INLINE_WAFERINX             2          N/A
CIMMGR                         EMS_CETC_HJP200_DATA           EMS_CETC_HJP200_D_IX2                    2          N/A
CIMMGR                         EMS_DNS_WS820_DATA             EMS_DNS_WS820_D_IX2                      2          N/A
CIMMGR                         EMS_DNS_WS820_OODATA           PK_EMS_DNS_WS820_WAFERINX                2          N/A
CIMMGR                         EMS_KE_FURNACE_DATA            EMS_KE_FURNACE_D_IX2                     2          N/A
CIMMGR                         EMS_KE_FURNACE_OODATA          PK_EMS_KE_FURNACE_INX                    2          N/A
CIMMGR                         EMS_LAM_2300_DATA              EMS_LAM_2300_D_IX2                       2          N/A
CIMMGR                         EMS_LAM_2300_OODATA            PK_EMS_LAM_2300_WAFERINX                 2          N/A
CIMMGR                         EMS_LAM_9400A_DATA             EMS_LAM_9400A_D_IX2                      2          N/A
CIMMGR                         EMS_LAM_9400_DATA              EMS_LAM_9400_D_IX2                       2          N/A
CIMMGR                         EMS_LAM_9400_OODATA            PK_EMS_LAM_9400_WAFERINX                 2          N/A
CIMMGR                         EMS_LAM_9600A_DATA             EMS_LAM_9600A_D_IX2                      2          N/A
CIMMGR                         EMS_LAM_9600_DATA              EMS_LAM_9600_D_IX2                       2          N/A
CIMMGR                         EMS_LAM_9600_OODATA            PK_EMS_LAM_9600_WAFERINX                 2          N/A
CIMMGR                         EMS_LAM_EXCELAN_DATA           EMS_LAM_EXCELAN_D_IX2                    2          N/A
CIMMGR                         EMS_LAM_EXCELAN_OODATA         PK_EMS_LAM_EXCELAN_WAFERINX              2          N/A
CIMMGR                         EMS_LMN_MARKER_DATA            EMS_LMN_MARKER_D_IX2                     2          N/A
CIMMGR                         EMS_LMN_MARKER_OODATA          PK_EMS_LMN_MARKER_WAFERINX               2          N/A
CIMMGR                         EMS_MATTSON_ASPEN_DATA         EMS_MATTSON_ASPEN_D_IX2                  2          N/A
CIMMGR                         EMS_MATTSON_ASPEN_OODATA       PK_EMS_MATTSON_ASPEN_WAFERINX            2          N/A
CIMMGR                         EMS_MATTSON_AWP3GEN_DATA       EMS_MATTSON_AWP3GEN_D_IX2                2          N/A
CIMMGR                         EMS_MATTSON_AWP3GEN_OODATA     PK_EMS_MATTSON_AWP3GEN_INX               2          N/A
CIMMGR                         EMS_NISSIN_2000AH_DATA         EMS_NISSIN_2000AH_D_IX2                  2          N/A
CIMMGR                         EMS_NISSIN_2000AH_OODATA       PK_EMS_NISSIN_2000AH_INX                 2          N/A
CIMMGR                         EMS_NISSIN_EX2300_DATA         EMS_NISSIN_EX2300_D_IX2                  2          N/A
CIMMGR                         EMS_NISSIN_EX2300_OODATA       PK_EMS_NISSIN_EX2300_WAFERINX            2          N/A
CIMMGR                         EMS_NOVELLOUS_GAMMAR_DATA      EMS_NOVELLOUS_GAMMAR_D_IX2               2          N/A
CIMMGR                         EMS_NOVELLOUS_GAMMAR_OODATA    PK_EMS_NOVELLOUS_GAMMAR_INX              2          N/A
CIMMGR                         EMS_NOVELLUS_C2_DATA           EMS_NOVELLUS_C2_D_IX2                    2          N/A
CIMMGR                         EMS_NOVELLUS_C2_OODATA         PK_EMS_NOVELLUS_C2_WAFERINX              2          N/A
CIMMGR                         EMS_PIOTECH_PF300T_DATA        EMS_PIOTECH_PF300T_D_IX2                 2          N/A
CIMMGR                         EMS_PROZ_ASMLXT_DATA           EMS_PROZ_ASMLXT_D_IX2                    2          N/A
CIMMGR                         EMS_SES_BW2000_OODATA          PK_EMS_SES_BW2000_WAFERINX               2          N/A
CIMMGR                         EMS_SES_PEAGUS_OODATA          PK_EMS_SES_PEAGUS_WAFERINX               2          N/A
CIMMGR                         EMS_SES_PEGASUS_DATA           EMS_SES_PEAGSUS_DATA_INX2                2          N/A
CIMMGR                         EMS_SES_PEGASUS_OODATA         PK_EMS_SES_PEGASUS_WAFERINX              2          N/A
CIMMGR                         EMS_SEZ_SP223_DATA             EMS_SEZ_SP223_D_IX2                      2          N/A
CIMMGR                         EMS_SEZ_SP223_OODATA           PK_EMS_SEZ_SP223_WAFERINX                2          N/A
CIMMGR                         EMS_SHIBAURA_CDE80_DATA        EMS_SHIBAURA_CDE80_D_IX2                 2          N/A
CIMMGR                         EMS_SHIBAURA_CDE80_OODATA      PK_EMS_SHIBAURA_CDE80_INX                2          N/A
CIMMGR                         EMS_TEL_8S_DATA                EMS_TEL_8S_D_IX2                         2          N/A
CIMMGR                         EMS_TEL_8S_OODATA              PK_EMS_TEL_8S_WAFERINX                   2          N/A
CIMMGR                         EMS_TEL_ACT8_DATA              EMS_TEL_ACT8_D_IX2                       2          N/A
CIMMGR                         EMS_TEL_ACT8_OODATA            PK_EMS_TEL_ACT8_WAFERINX                 2          N/A
CIMMGR                         EMS_TEL_DRM_DATA               EMS_TEL_DRM_D_IX2                        2          N/A
CIMMGR                         EMS_TEL_DRM_OODATA             PK_EMS_TEL_DRM_WAFERINX                  2          N/A
CIMMGR                         EMS_TEL_FURNANCE_DATA          EMS_TEL_FURNANCE_D_IX2                   2          N/A
CIMMGR                         EMS_TEL_FURNANCE_OODATA        PK_EMS_TEL_FURNANCE_WAFERINX             2          N/A
CIMMGR                         EMS_TEL_FURNANCE_PLUS_DATA     EMS_TEL_FURNANCE_PLUS_D_IX2              2          N/A
CIMMGR                         EMS_TEL_FURNANCE_PLUS_OODATA   PK_EMS_TEL_FURNANCE_PLUS_INX             2          N/A
CIMMGR                         EMS_TEL_GCIB_DATA              EMS_TEL_GCIB_D_IX2                       2          N/A
CIMMGR                         EMS_TEL_MARK8_DATA             EMS_TEL_MARK8_D_IX2                      2          N/A
CIMMGR                         EMS_TEL_MARK8_OODATA           PK_EMS_TEL_MARK8_WAFERINX                2          N/A
CIMMGR                         EMS_TEL_MB2_DATA               EMS_TEL_MB2_D_IX2                        2          N/A
CIMMGR                         EMS_TEL_MB2_OODATA             PK_EMS_TEL_MB2_WAFERINX                  2          N/A
CIMMGR                         EMS_TEL_UNITYEP_DATA           EMS_TEL_UNITYEP_D_IX2                    2          N/A
CIMMGR                         EMS_TEL_UNITYEP_OODATA         PK_EMS_TEL_UNITYEP_WAFERINX              2          N/A
CIMMGR                         EMS_USHIO_UV_DATA              EMS_USHIO_UV_D_IX2                       2          N/A
CIMMGR                         EMS_VARIAN_VIISTA810_DATA      EMS_VARIAN_VIISTA810_D_IX2               2          N/A
CIMMGR                         WSS_RESULT_HISTORY             WSS_RESULT_HISTORY_INX1                  3          VALID
APCDEV                         APC_NIKON_SPEC_HIS_TABLE       INX_APC_NIKON_HIS_TABLE                  3          VALID
APCDEV                         APC_NIKON_SPEC_TABLE           PK_APC_NIKON_SPEC_TABLE                  3          VALID
APCDEV                         APC_OFFSET_NIKON               PK_APC_OFFSET_NIKON                      3          VALID
APCDEV                         OVL_PRODUCTION_DATA_NIKON      INX_OVL_PRODUCTION_DATA_NIKON            3          VALID
APCDEV                         PROCESS_CONDITION_NIKON        INX_PROCESS_CONDITION_NIKON              3          VALID
APCDEV                         SCANNER_STATUS_NIKON           PK_SCANNER_STATUS_NIKON                  3          VALID</t>
  </si>
  <si>
    <t>无效索引检查</t>
  </si>
  <si>
    <t>Oracle序列检查</t>
  </si>
  <si>
    <t>SEQUENCE_OWNER                 CNT_LESS_200
------------------------------ ------------
CIMMGR                                   35
MCSMGR                                   24
GSMADMIN_INTERNAL                        16
WSSAPP                                    1
RLTDEV                                    1
RTDUSER                                   1</t>
  </si>
  <si>
    <t>闪回区配置</t>
  </si>
  <si>
    <t>NAME                                          SPACE_LIMIT       SPACE_USED SPACE_RECLAIMABLE  NUMBER_OF_FILES               CON_ID
---------------------------------------- ---------------- ---------------- ----------------- ---------------- --------------------
/apc2db_arc/flashback/apc2db              322,122,547,200       26,689,536                 0                1                 .000</t>
  </si>
  <si>
    <t>FlashRecovery区使用情况</t>
  </si>
  <si>
    <t>FILE_TYPE                                PERCENT_SPACE_USED PERCENT_SPACE_RECLAIMABLE  NUMBER_OF_FILES               CON_ID
---------------------------------------- ------------------ ------------------------- ---------------- --------------------
CONTROL FILE                                             91                         0                0                 .000
REDO LOG                                                  0                         0                0                 .000
ARCHIVED LOG                                              0                         0                0                 .000
BACKUP PIECE                                              0                         0                1                 .000
IMAGE COPY                                                0                         0                0                 .000
FLASHBACK LOG                                             0                         0                0                 .000
FOREIGN ARCHIVED LOG                                      0                         0                0                 .000
AUXILIARY DATAFILE COPY                                   0                         0                0                 .000</t>
  </si>
  <si>
    <t>数据库日志检查</t>
  </si>
  <si>
    <t>Please check alert log file.</t>
  </si>
  <si>
    <t>数据库RMAN备份</t>
  </si>
  <si>
    <t>DBA权限用户检查</t>
  </si>
  <si>
    <t>GRANTEE                        GRANTED_ROLE    ADMIN_OPTION
------------------------------ --------------- --------------------
SYS                            DBA             YES
SYSTEM                         DBA             YES</t>
  </si>
  <si>
    <t>SYSDBA权限用户检查</t>
  </si>
  <si>
    <t>数据库审计空间检查</t>
  </si>
  <si>
    <t>SEGMENT_NAME    SIZE_IN_MEGABYTES TABLESPACE_NAME
--------------- ----------------- ------------------------------
AUD$                      1280.00 AUDIT_TS
FGA_LOG$                      .06 SYSTEM</t>
  </si>
  <si>
    <t>数据库审计对象检查</t>
  </si>
  <si>
    <t>COUNT(*)
--------------------
                .000</t>
  </si>
  <si>
    <t>业务对象存放系统表空间</t>
  </si>
  <si>
    <t>OWNER                          TABLESPACE_NAME                SEGMENT_NAME                   SEGMENT_TYPE
------------------------------ ------------------------------ ------------------------------ ------------------------------
GSMADMIN_INTERNAL              SYSTEM                         SHARD_TS                       TABLE
GSMADMIN_INTERNAL              SYSTEM                         SYS_C00946932                  INDEX</t>
  </si>
  <si>
    <t>错误口令登录锁定帐户PROFILE检查</t>
  </si>
  <si>
    <t>USERNAME                       PROFILE              RESOURCE_NAME                  RESOURCE_T LIMIT
------------------------------ -------------------- ------------------------------ ---------- ------------------------------
SPLUNKAUDIT                    DEFAULT              FAILED_LOGIN_ATTEMPTS          PASSWORD   UNLIMITED
ORAAUD                         DEFAULT              FAILED_LOGIN_ATTEMPTS          PASSWORD   UNLIMITED
EAPDISSCS                      DEFAULT              FAILED_LOGIN_ATTEMPTS          PASSWORD   UNLIMITED
PERFSTAT                       DEFAULT              FAILED_LOGIN_ATTEMPTS          PASSWORD   UNLIMITED
DPA4ORACLE                     DEFAULT              FAILED_LOGIN_ATTEMPTS          PASSWORD   UNLIMITED
ITILUSER                       DEFAULT              FAILED_LOGIN_ATTEMPTS          PASSWORD   UNLIMITED
APCDEV                         DEFAULT              FAILED_LOGIN_ATTEMPTS          PASSWORD   UNLIMITED
WSSAPP                         DEFAULT              FAILED_LOGIN_ATTEMPTS          PASSWORD   UNLIMITED
AMSAPP                         DEFAULT              FAILED_LOGIN_ATTEMPTS          PASSWORD   UNLIMITED
EAPDEV                         DEFAULT              FAILED_LOGIN_ATTEMPTS          PASSWORD   UNLIMITED
F2ISSUETAG                     DEFAULT              FAILED_LOGIN_ATTEMPTS          PASSWORD   UNLIMITED
MCSAPP                         DEFAULT              FAILED_LOGIN_ATTEMPTS          PASSWORD   UNLIMITED
F1MCSAPP                       DEFAULT              FAILED_LOGIN_ATTEMPTS          PASSWORD   UNLIMITED
RLTDEV                         DEFAULT              FAILED_LOGIN_ATTEMPTS          PASSWORD   UNLIMITED
CIMRPT                         DEFAULT              FAILED_LOGIN_ATTEMPTS          PASSWORD   UNLIMITED
SCSAPP                         DEFAULT              FAILED_LOGIN_ATTEMPTS          PASSWORD   UNLIMITED
CIMMGR                         DEFAULT              FAILED_LOGIN_ATTEMPTS          PASSWORD   UNLIMITED
RTDUSER                        DEFAULT              FAILED_LOGIN_ATTEMPTS          PASSWORD   UNLIMITED
EAPQUERY                       DEFAULT              FAILED_LOGIN_ATTEMPTS          PASSWORD   UNLIMITED
RCPAPP                         DEFAULT              FAILED_LOGIN_ATTEMPTS          PASSWORD   UNLIMITED
PERFSTAT9I                     DEFAULT              FAILED_LOGIN_ATTEMPTS          PASSWORD   UNLIMITED
VCSUSER                        DEFAULT              FAILED_LOGIN_ATTEMPTS          PASSWORD   UNLIMITED
F2REPUSER                      DEFAULT              FAILED_LOGIN_ATTEMPTS          PASSWORD   UNLIMITED
YMSEAP2                        DEFAULT              FAILED_LOGIN_ATTEMPTS          PASSWORD   UNLIMITED
EMSAPP                         DEFAULT              FAILED_LOGIN_ATTEMPTS          PASSWORD   UNLIMITED
ALSAPP                         DEFAULT              FAILED_LOGIN_ATTEMPTS          PASSWORD   UNLIMITED
CIMCFG                         DEFAULT              FAILED_LOGIN_ATTEMPTS          PASSWORD   UNLIMITED
PSCAPP                         DEFAULT              FAILED_LOGIN_ATTEMPTS          PASSWORD   UNLIMITED
MESUSER                        DEFAULT              FAILED_LOGIN_ATTEMPTS          PASSWORD   UNLIMITED
EAPSA                          DEFAULT              FAILED_LOGIN_ATTEMPTS          PASSWORD   UNLIMITED
RMSAPP                         DEFAULT              FAILED_LOGIN_ATTEMPTS          PASSWORD   UNLIMITED
RTDELT                         DEFAULT              FAILED_LOGIN_ATTEMPTS          PASSWORD   UNLIMITED
MCSMGR                         SESS_100             FAILED_LOGIN_ATTEMPTS          PASSWORD   DEFAULT</t>
  </si>
  <si>
    <t>病毒勒索攻击检查</t>
  </si>
  <si>
    <t>SCNHealthCheck检查</t>
  </si>
  <si>
    <t>--------------------------------------------------------------
ScnHealthCheck
--------------------------------------------------------------
Current Date: 2023/03/22 16:41:14
Current SCN:   10046958859857
Version:       19.0.0.0.0
--------------------------------------------------------------
Result: C - SCN Headroom is good
Apply the latest recommended patches
based on your maintenance schedule
For further information review MOS document id 1393363.1
--------------------------------------------------------------</t>
  </si>
  <si>
    <t>DataGuard同步延迟检查</t>
  </si>
  <si>
    <t>DataGuard同步报错检查</t>
  </si>
  <si>
    <t>----</t>
  </si>
  <si>
    <t>AAA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</si>
</sst>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31" x14ac:knownFonts="1">
    <font>
      <sz val="11"/>
      <color theme="3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2"/>
      <color theme="3"/>
      <name val="Corbel"/>
      <family val="2"/>
      <scheme val="minor"/>
    </font>
    <font>
      <sz val="20"/>
      <color theme="1"/>
      <name val="Impact"/>
      <family val="2"/>
      <scheme val="major"/>
    </font>
    <font>
      <sz val="11"/>
      <color theme="3"/>
      <name val="Corbel"/>
      <family val="2"/>
      <scheme val="minor"/>
    </font>
    <font>
      <sz val="11"/>
      <color theme="0"/>
      <name val="Corbel"/>
      <family val="2"/>
      <scheme val="minor"/>
    </font>
    <font>
      <sz val="32"/>
      <color theme="1"/>
      <name val="Impact"/>
      <family val="2"/>
      <scheme val="major"/>
    </font>
    <font>
      <sz val="12"/>
      <color theme="1"/>
      <name val="Corbel"/>
      <family val="2"/>
      <scheme val="minor"/>
    </font>
    <font>
      <sz val="11"/>
      <name val="Corbel"/>
      <family val="2"/>
      <scheme val="minor"/>
    </font>
    <font>
      <sz val="32"/>
      <color theme="2" tint="-0.499984740745262"/>
      <name val="Impact"/>
      <family val="2"/>
      <scheme val="major"/>
    </font>
    <font>
      <b/>
      <sz val="18"/>
      <color theme="2" tint="-0.499984740745262"/>
      <name val="Corbel"/>
      <family val="2"/>
      <scheme val="minor"/>
    </font>
    <font>
      <b/>
      <sz val="12"/>
      <color theme="1"/>
      <name val="Corbel"/>
      <family val="2"/>
      <scheme val="minor"/>
    </font>
    <font>
      <sz val="9"/>
      <name val="宋体"/>
      <family val="3"/>
      <charset val="134"/>
      <scheme val="minor"/>
    </font>
    <font>
      <b/>
      <sz val="36"/>
      <color theme="1"/>
      <name val="Impact"/>
      <family val="2"/>
    </font>
    <font>
      <b/>
      <sz val="36"/>
      <color theme="1"/>
      <name val="等线"/>
      <family val="2"/>
      <charset val="134"/>
    </font>
    <font>
      <sz val="32"/>
      <color theme="2" tint="-0.499984740745262"/>
      <name val="Impact"/>
      <family val="2"/>
    </font>
    <font>
      <sz val="11"/>
      <color theme="3"/>
      <name val="宋体"/>
      <family val="2"/>
      <charset val="134"/>
    </font>
    <font>
      <b/>
      <sz val="12"/>
      <color theme="1"/>
      <name val="微软雅黑"/>
      <family val="2"/>
      <charset val="134"/>
      <scheme val="minor"/>
    </font>
    <font>
      <b/>
      <sz val="12"/>
      <color theme="1"/>
      <name val="宋体"/>
      <family val="2"/>
      <charset val="134"/>
    </font>
    <font>
      <sz val="11"/>
      <color theme="1"/>
      <name val="Microsoft YaHei Light"/>
      <family val="2"/>
      <charset val="134"/>
    </font>
    <font>
      <sz val="11"/>
      <color theme="3"/>
      <name val="Microsoft YaHei Light"/>
      <family val="2"/>
      <charset val="134"/>
    </font>
    <font>
      <b/>
      <sz val="11"/>
      <color theme="3"/>
      <name val="Microsoft YaHei Light"/>
      <family val="2"/>
      <charset val="134"/>
    </font>
    <font>
      <sz val="32"/>
      <color theme="6"/>
      <name val="Impact"/>
      <family val="2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Calibri"/>
      <family val="2"/>
    </font>
    <font>
      <b/>
      <sz val="11"/>
      <color rgb="FFE6E6FA"/>
      <name val="Calibri"/>
      <family val="2"/>
    </font>
    <font>
      <sz val="9"/>
      <color theme="1"/>
      <name val="Microsoft YaHei Light"/>
      <family val="2"/>
      <charset val="134"/>
    </font>
    <font>
      <b/>
      <sz val="12"/>
      <color theme="0"/>
      <name val="宋体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0.1499374370555742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555555"/>
      </patternFill>
    </fill>
    <fill>
      <patternFill patternType="solid">
        <fgColor rgb="FF4876FF"/>
      </patternFill>
    </fill>
    <fill>
      <patternFill patternType="solid">
        <fgColor rgb="FFFFAEB9"/>
      </patternFill>
    </fill>
    <fill>
      <patternFill patternType="solid">
        <fgColor rgb="FF00BF5F"/>
      </patternFill>
    </fill>
  </fills>
  <borders count="6">
    <border>
      <left/>
      <right/>
      <top/>
      <bottom/>
      <diagonal/>
    </border>
    <border>
      <left/>
      <right/>
      <top style="thick">
        <color theme="2" tint="-0.499984740745262"/>
      </top>
      <bottom/>
      <diagonal/>
    </border>
    <border>
      <left/>
      <right/>
      <top/>
      <bottom style="thick">
        <color theme="2" tint="-0.499984740745262"/>
      </bottom>
      <diagonal/>
    </border>
    <border>
      <left/>
      <right/>
      <top style="dotted">
        <color theme="2" tint="-0.499984740745262"/>
      </top>
      <bottom style="dotted">
        <color theme="2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theme="2" tint="-0.499984740745262"/>
      </top>
      <bottom/>
      <diagonal/>
    </border>
  </borders>
  <cellStyleXfs count="20">
    <xf numFmtId="0" fontId="0" fillId="2" borderId="0">
      <alignment vertical="center" wrapText="1"/>
    </xf>
    <xf numFmtId="0" fontId="5" fillId="0" borderId="0" applyNumberFormat="0" applyFill="0" applyProtection="0">
      <alignment horizontal="left" vertical="center"/>
    </xf>
    <xf numFmtId="0" fontId="9" fillId="0" borderId="0" applyNumberFormat="0" applyFill="0" applyBorder="0" applyProtection="0">
      <alignment horizontal="left" wrapText="1"/>
    </xf>
    <xf numFmtId="44" fontId="3" fillId="0" borderId="0" applyFont="0" applyFill="0" applyBorder="0" applyProtection="0">
      <alignment vertical="center"/>
    </xf>
    <xf numFmtId="9" fontId="7" fillId="0" borderId="0" applyFill="0" applyBorder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7" fillId="0" borderId="0" applyNumberFormat="0" applyFill="0" applyBorder="0" applyAlignment="0">
      <alignment vertical="center"/>
    </xf>
    <xf numFmtId="0" fontId="4" fillId="0" borderId="1" applyNumberFormat="0" applyFill="0" applyProtection="0">
      <alignment horizontal="right" vertical="center"/>
    </xf>
    <xf numFmtId="0" fontId="12" fillId="0" borderId="0" applyNumberFormat="0" applyFill="0" applyBorder="0" applyProtection="0">
      <alignment horizontal="left"/>
    </xf>
    <xf numFmtId="7" fontId="4" fillId="0" borderId="1" applyFill="0" applyAlignment="0" applyProtection="0"/>
    <xf numFmtId="37" fontId="6" fillId="0" borderId="0" applyFont="0" applyFill="0" applyBorder="0" applyProtection="0">
      <alignment horizontal="left" vertical="center" indent="1"/>
    </xf>
    <xf numFmtId="7" fontId="6" fillId="0" borderId="0" applyFont="0" applyFill="0" applyBorder="0" applyProtection="0">
      <alignment horizontal="right" vertical="center"/>
    </xf>
    <xf numFmtId="0" fontId="6" fillId="2" borderId="0" applyNumberFormat="0" applyFont="0" applyFill="0" applyBorder="0">
      <alignment horizontal="center" vertical="center"/>
    </xf>
    <xf numFmtId="0" fontId="6" fillId="2" borderId="0" applyNumberFormat="0" applyFont="0" applyFill="0" applyBorder="0">
      <alignment horizontal="right" vertical="center"/>
    </xf>
    <xf numFmtId="0" fontId="10" fillId="2" borderId="0" applyNumberFormat="0" applyFill="0" applyBorder="0" applyAlignment="0" applyProtection="0">
      <alignment vertical="center" wrapText="1"/>
    </xf>
    <xf numFmtId="0" fontId="10" fillId="2" borderId="0" applyNumberFormat="0" applyFill="0" applyBorder="0" applyAlignment="0" applyProtection="0">
      <alignment vertical="center" wrapText="1"/>
    </xf>
    <xf numFmtId="0" fontId="2" fillId="3" borderId="0" applyNumberFormat="0" applyBorder="0" applyAlignment="0" applyProtection="0"/>
    <xf numFmtId="0" fontId="11" fillId="0" borderId="0">
      <alignment vertical="center"/>
    </xf>
    <xf numFmtId="0" fontId="6" fillId="0" borderId="0" applyNumberFormat="0" applyFill="0" applyBorder="0" applyProtection="0">
      <alignment vertical="center"/>
    </xf>
    <xf numFmtId="0" fontId="27" fillId="0" borderId="0"/>
  </cellStyleXfs>
  <cellXfs count="62">
    <xf numFmtId="0" fontId="0" fillId="2" borderId="0" xfId="0">
      <alignment vertical="center" wrapText="1"/>
    </xf>
    <xf numFmtId="9" fontId="1" fillId="2" borderId="0" xfId="4" applyFont="1" applyFill="1">
      <alignment horizontal="left" vertical="center"/>
    </xf>
    <xf numFmtId="0" fontId="6" fillId="4" borderId="0" xfId="18" applyFill="1" applyAlignment="1">
      <alignment horizontal="right" vertical="center"/>
    </xf>
    <xf numFmtId="0" fontId="5" fillId="4" borderId="0" xfId="1" applyFill="1">
      <alignment horizontal="left" vertical="center"/>
    </xf>
    <xf numFmtId="0" fontId="0" fillId="4" borderId="0" xfId="0" applyFill="1">
      <alignment vertical="center" wrapText="1"/>
    </xf>
    <xf numFmtId="0" fontId="5" fillId="4" borderId="0" xfId="1" applyFill="1" applyAlignment="1">
      <alignment vertical="center"/>
    </xf>
    <xf numFmtId="0" fontId="0" fillId="4" borderId="0" xfId="13" applyFont="1" applyFill="1">
      <alignment horizontal="right" vertical="center"/>
    </xf>
    <xf numFmtId="7" fontId="0" fillId="4" borderId="0" xfId="11" applyFont="1" applyFill="1">
      <alignment horizontal="right" vertical="center"/>
    </xf>
    <xf numFmtId="9" fontId="1" fillId="4" borderId="0" xfId="4" applyFont="1" applyFill="1">
      <alignment horizontal="left" vertical="center"/>
    </xf>
    <xf numFmtId="7" fontId="13" fillId="4" borderId="1" xfId="7" applyNumberFormat="1" applyFont="1" applyFill="1">
      <alignment horizontal="right" vertical="center"/>
    </xf>
    <xf numFmtId="7" fontId="4" fillId="4" borderId="1" xfId="9" applyFill="1" applyAlignment="1">
      <alignment vertical="center" wrapText="1"/>
    </xf>
    <xf numFmtId="0" fontId="0" fillId="5" borderId="0" xfId="0" applyFill="1">
      <alignment vertical="center" wrapText="1"/>
    </xf>
    <xf numFmtId="0" fontId="0" fillId="4" borderId="0" xfId="18" applyFont="1" applyFill="1" applyAlignment="1">
      <alignment horizontal="right" vertical="center"/>
    </xf>
    <xf numFmtId="0" fontId="18" fillId="4" borderId="0" xfId="13" applyFont="1" applyFill="1">
      <alignment horizontal="right" vertical="center"/>
    </xf>
    <xf numFmtId="0" fontId="0" fillId="4" borderId="0" xfId="18" applyFont="1" applyFill="1" applyAlignment="1">
      <alignment horizontal="center" vertical="center"/>
    </xf>
    <xf numFmtId="9" fontId="1" fillId="4" borderId="0" xfId="4" applyFon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2" borderId="0" xfId="0" applyAlignment="1">
      <alignment horizontal="center" vertical="center" wrapText="1"/>
    </xf>
    <xf numFmtId="0" fontId="22" fillId="4" borderId="0" xfId="13" applyFont="1" applyFill="1">
      <alignment horizontal="right" vertical="center"/>
    </xf>
    <xf numFmtId="0" fontId="23" fillId="4" borderId="0" xfId="13" applyFont="1" applyFill="1">
      <alignment horizontal="right" vertical="center"/>
    </xf>
    <xf numFmtId="7" fontId="22" fillId="4" borderId="0" xfId="11" applyFont="1" applyFill="1">
      <alignment horizontal="right" vertical="center"/>
    </xf>
    <xf numFmtId="0" fontId="22" fillId="4" borderId="0" xfId="0" applyFont="1" applyFill="1">
      <alignment vertical="center" wrapText="1"/>
    </xf>
    <xf numFmtId="0" fontId="22" fillId="4" borderId="0" xfId="13" applyFont="1" applyFill="1" applyAlignment="1">
      <alignment horizontal="right" vertical="center" wrapText="1"/>
    </xf>
    <xf numFmtId="9" fontId="21" fillId="4" borderId="0" xfId="4" applyFont="1" applyFill="1">
      <alignment horizontal="left" vertical="center"/>
    </xf>
    <xf numFmtId="0" fontId="15" fillId="7" borderId="0" xfId="5" applyFont="1" applyFill="1" applyAlignment="1">
      <alignment horizontal="center" vertical="center"/>
    </xf>
    <xf numFmtId="0" fontId="15" fillId="7" borderId="0" xfId="5" applyFont="1" applyFill="1" applyAlignment="1">
      <alignment horizontal="left" vertical="center"/>
    </xf>
    <xf numFmtId="0" fontId="17" fillId="7" borderId="0" xfId="17" applyFont="1" applyFill="1" applyAlignment="1">
      <alignment horizontal="left" vertical="center"/>
    </xf>
    <xf numFmtId="0" fontId="2" fillId="7" borderId="0" xfId="16" applyFill="1" applyAlignment="1">
      <alignment vertical="center" wrapText="1"/>
    </xf>
    <xf numFmtId="0" fontId="24" fillId="7" borderId="0" xfId="17" applyFont="1" applyFill="1" applyAlignment="1">
      <alignment horizontal="left" vertical="center"/>
    </xf>
    <xf numFmtId="0" fontId="19" fillId="0" borderId="2" xfId="2" applyFont="1" applyFill="1" applyBorder="1" applyAlignment="1">
      <alignment horizontal="center" vertical="center" wrapText="1"/>
    </xf>
    <xf numFmtId="0" fontId="13" fillId="0" borderId="2" xfId="2" applyFont="1" applyFill="1" applyBorder="1" applyAlignment="1">
      <alignment horizontal="center" vertical="center" wrapText="1"/>
    </xf>
    <xf numFmtId="0" fontId="19" fillId="0" borderId="2" xfId="2" applyFont="1" applyFill="1" applyBorder="1" applyAlignment="1">
      <alignment horizontal="left" vertical="center"/>
    </xf>
    <xf numFmtId="0" fontId="20" fillId="0" borderId="2" xfId="2" applyFont="1" applyFill="1" applyBorder="1" applyAlignment="1">
      <alignment horizontal="center" vertical="center" wrapText="1"/>
    </xf>
    <xf numFmtId="0" fontId="28" fillId="8" borderId="4" xfId="19" applyFont="1" applyFill="1" applyBorder="1" applyAlignment="1">
      <alignment horizontal="center" vertical="center" wrapText="1" justifyLastLine="1" shrinkToFit="1"/>
    </xf>
    <xf numFmtId="0" fontId="27" fillId="0" borderId="0" xfId="19" applyAlignment="1">
      <alignment horizontal="right" vertical="center" wrapText="1" indent="1" justifyLastLine="1" shrinkToFit="1"/>
    </xf>
    <xf numFmtId="0" fontId="27" fillId="0" borderId="0" xfId="19"/>
    <xf numFmtId="0" fontId="27" fillId="9" borderId="0" xfId="19" applyFill="1" applyAlignment="1">
      <alignment horizontal="right" vertical="top" wrapText="1"/>
    </xf>
    <xf numFmtId="0" fontId="27" fillId="10" borderId="0" xfId="19" applyFill="1" applyAlignment="1">
      <alignment horizontal="right" vertical="top" wrapText="1"/>
    </xf>
    <xf numFmtId="0" fontId="27" fillId="11" borderId="0" xfId="19" applyFill="1" applyAlignment="1">
      <alignment horizontal="right" vertical="top" wrapText="1"/>
    </xf>
    <xf numFmtId="0" fontId="1" fillId="6" borderId="5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left" vertical="center" wrapText="1"/>
    </xf>
    <xf numFmtId="0" fontId="21" fillId="6" borderId="5" xfId="0" applyFont="1" applyFill="1" applyBorder="1" applyAlignment="1">
      <alignment horizontal="left" vertical="center"/>
    </xf>
    <xf numFmtId="0" fontId="21" fillId="6" borderId="5" xfId="0" applyFont="1" applyFill="1" applyBorder="1">
      <alignment vertical="center" wrapText="1"/>
    </xf>
    <xf numFmtId="0" fontId="21" fillId="6" borderId="5" xfId="0" applyFont="1" applyFill="1" applyBorder="1" applyAlignment="1">
      <alignment horizontal="center" vertical="center" wrapText="1"/>
    </xf>
    <xf numFmtId="37" fontId="21" fillId="6" borderId="5" xfId="10" applyFont="1" applyFill="1" applyBorder="1" applyAlignment="1">
      <alignment horizontal="center" vertical="center"/>
    </xf>
    <xf numFmtId="0" fontId="10" fillId="6" borderId="5" xfId="14" applyFill="1" applyBorder="1">
      <alignment vertical="center" wrapText="1"/>
    </xf>
    <xf numFmtId="0" fontId="1" fillId="2" borderId="5" xfId="0" applyFont="1" applyBorder="1" applyAlignment="1">
      <alignment horizontal="center" vertical="center" wrapText="1"/>
    </xf>
    <xf numFmtId="0" fontId="21" fillId="2" borderId="5" xfId="0" applyFont="1" applyBorder="1">
      <alignment vertical="center" wrapText="1"/>
    </xf>
    <xf numFmtId="0" fontId="21" fillId="2" borderId="5" xfId="0" applyFont="1" applyBorder="1" applyAlignment="1">
      <alignment vertical="center"/>
    </xf>
    <xf numFmtId="0" fontId="21" fillId="2" borderId="5" xfId="0" applyFont="1" applyBorder="1" applyAlignment="1">
      <alignment horizontal="center" vertical="center" wrapText="1"/>
    </xf>
    <xf numFmtId="37" fontId="21" fillId="2" borderId="5" xfId="10" applyFont="1" applyFill="1" applyBorder="1" applyAlignment="1">
      <alignment horizontal="center" vertical="center"/>
    </xf>
    <xf numFmtId="0" fontId="10" fillId="2" borderId="5" xfId="14" applyBorder="1">
      <alignment vertical="center" wrapText="1"/>
    </xf>
    <xf numFmtId="0" fontId="21" fillId="6" borderId="5" xfId="0" applyFont="1" applyFill="1" applyBorder="1" applyAlignment="1">
      <alignment vertical="center"/>
    </xf>
    <xf numFmtId="0" fontId="10" fillId="6" borderId="5" xfId="14" applyFill="1" applyBorder="1" applyAlignment="1">
      <alignment vertical="center" wrapText="1"/>
    </xf>
    <xf numFmtId="0" fontId="21" fillId="6" borderId="3" xfId="0" applyFont="1" applyFill="1" applyBorder="1">
      <alignment vertical="center" wrapText="1"/>
    </xf>
    <xf numFmtId="0" fontId="21" fillId="6" borderId="3" xfId="0" applyFont="1" applyFill="1" applyBorder="1" applyAlignment="1">
      <alignment horizontal="center" vertical="center" wrapText="1"/>
    </xf>
    <xf numFmtId="37" fontId="21" fillId="6" borderId="3" xfId="10" applyFont="1" applyFill="1" applyBorder="1" applyAlignment="1">
      <alignment horizontal="center" vertical="center"/>
    </xf>
    <xf numFmtId="0" fontId="10" fillId="6" borderId="3" xfId="14" applyFill="1" applyBorder="1">
      <alignment vertical="center" wrapText="1"/>
    </xf>
    <xf numFmtId="0" fontId="10" fillId="0" borderId="0" xfId="14" applyFill="1" applyAlignment="1">
      <alignment horizontal="right" vertical="center" wrapText="1" indent="1" justifyLastLine="1" shrinkToFit="1"/>
    </xf>
    <xf numFmtId="0" fontId="30" fillId="0" borderId="2" xfId="2" applyFont="1" applyFill="1" applyBorder="1" applyAlignment="1">
      <alignment horizontal="center" vertical="center" wrapText="1"/>
    </xf>
    <xf numFmtId="0" fontId="29" fillId="2" borderId="3" xfId="0" applyFont="1" applyBorder="1" applyAlignment="1">
      <alignment horizontal="left" vertical="center" wrapText="1"/>
    </xf>
  </cellXfs>
  <cellStyles count="20">
    <cellStyle name="20% - 着色 4" xfId="16" builtinId="42"/>
    <cellStyle name="Budget labels" xfId="13" xr:uid="{00000000-0005-0000-0000-000001000000}"/>
    <cellStyle name="Done" xfId="12" xr:uid="{00000000-0005-0000-0000-000005000000}"/>
    <cellStyle name="Title 2" xfId="17" xr:uid="{00000000-0005-0000-0000-000010000000}"/>
    <cellStyle name="zHide text" xfId="6" xr:uid="{00000000-0005-0000-0000-000012000000}"/>
    <cellStyle name="千位分隔" xfId="10" builtinId="3" customBuiltin="1"/>
    <cellStyle name="已访问的超链接" xfId="15" builtinId="9" customBuiltin="1"/>
    <cellStyle name="常规" xfId="0" builtinId="0" customBuiltin="1"/>
    <cellStyle name="常规 2" xfId="19" xr:uid="{FE971702-C168-43EA-B5E5-9C8C44986D14}"/>
    <cellStyle name="标题" xfId="5" builtinId="15" customBuiltin="1"/>
    <cellStyle name="标题 1" xfId="1" builtinId="16" customBuiltin="1"/>
    <cellStyle name="标题 2" xfId="2" builtinId="17" customBuiltin="1"/>
    <cellStyle name="标题 3" xfId="7" builtinId="18" customBuiltin="1"/>
    <cellStyle name="标题 4" xfId="8" builtinId="19" customBuiltin="1"/>
    <cellStyle name="汇总" xfId="9" builtinId="25" customBuiltin="1"/>
    <cellStyle name="百分比" xfId="4" builtinId="5" customBuiltin="1"/>
    <cellStyle name="解释性文本" xfId="18" builtinId="53" customBuiltin="1"/>
    <cellStyle name="货币" xfId="3" builtinId="4" customBuiltin="1"/>
    <cellStyle name="货币[0]" xfId="11" builtinId="7" customBuiltin="1"/>
    <cellStyle name="超链接" xfId="14" builtinId="8" customBuiltin="1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4" tint="-0.24994659260841701"/>
      </font>
      <border>
        <bottom style="thin">
          <color theme="4"/>
        </bottom>
        <vertical/>
        <horizontal/>
      </border>
    </dxf>
    <dxf>
      <font>
        <color theme="4" tint="-0.24994659260841701"/>
      </font>
      <fill>
        <patternFill patternType="none">
          <bgColor auto="1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</font>
      <fill>
        <patternFill patternType="solid">
          <fgColor theme="0" tint="-0.14993743705557422"/>
          <bgColor theme="0" tint="-4.9989318521683403E-2"/>
        </patternFill>
      </fill>
    </dxf>
    <dxf>
      <font>
        <b/>
        <i val="0"/>
      </font>
      <fill>
        <patternFill patternType="none">
          <bgColor auto="1"/>
        </patternFill>
      </fill>
      <border>
        <top/>
        <bottom style="thick">
          <color theme="2" tint="-0.499984740745262"/>
        </bottom>
      </border>
    </dxf>
    <dxf>
      <font>
        <b val="0"/>
        <i val="0"/>
        <color theme="1"/>
      </font>
      <border diagonalUp="0" diagonalDown="0">
        <left/>
        <right/>
        <top style="dotted">
          <color theme="2" tint="-0.499984740745262"/>
        </top>
        <bottom style="dotted">
          <color theme="2" tint="-0.499984740745262"/>
        </bottom>
        <vertical/>
        <horizontal style="dotted">
          <color theme="2" tint="-0.499984740745262"/>
        </horizontal>
      </border>
    </dxf>
  </dxfs>
  <tableStyles count="2" defaultTableStyle="College Checklist" defaultPivotStyle="PivotStyleLight16">
    <tableStyle name="College Checklist" pivot="0" count="3" xr9:uid="{00000000-0011-0000-FFFF-FFFF00000000}">
      <tableStyleElement type="wholeTable" dxfId="12"/>
      <tableStyleElement type="headerRow" dxfId="11"/>
      <tableStyleElement type="firstRowStripe" dxfId="10"/>
    </tableStyle>
    <tableStyle name="Shopping List" pivot="0" table="0" count="10" xr9:uid="{00000000-0011-0000-FFFF-FFFF01000000}">
      <tableStyleElement type="wholeTable" dxfId="9"/>
      <tableStyleElement type="headerRow" dxfId="8"/>
    </tableStyle>
  </tableStyles>
  <colors>
    <mruColors>
      <color rgb="FF0066FF"/>
      <color rgb="FFD8EFF1"/>
      <color rgb="FFEAEAE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hopping List">
        <x14:slicerStyle name="Shopping List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786409381665122E-2"/>
          <c:y val="0.25048243969503814"/>
          <c:w val="0.90471623009879287"/>
          <c:h val="0.398200224971878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HealthReport!$A$1</c:f>
              <c:strCache>
                <c:ptCount val="1"/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29A-442B-AB08-6F070EE98C93}"/>
              </c:ext>
            </c:extLst>
          </c:dPt>
          <c:dLbls>
            <c:dLbl>
              <c:idx val="0"/>
              <c:numFmt formatCode="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29A-442B-AB08-6F070EE98C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HealthReport!$L$25</c:f>
              <c:numCache>
                <c:formatCode>General</c:formatCode>
                <c:ptCount val="1"/>
              </c:numCache>
            </c:numRef>
          </c:cat>
          <c:val>
            <c:numRef>
              <c:f>HealthReport!$L$26</c:f>
              <c:numCache>
                <c:formatCode>General</c:formatCode>
                <c:ptCount val="1"/>
                <c:pt idx="0">
                  <c:v>0.52307692307692311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9A-442B-AB08-6F070EE9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"/>
        <c:axId val="564033872"/>
        <c:axId val="564033480"/>
      </c:barChart>
      <c:valAx>
        <c:axId val="564033480"/>
        <c:scaling>
          <c:orientation val="minMax"/>
          <c:max val="1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1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4033872"/>
        <c:crosses val="autoZero"/>
        <c:crossBetween val="between"/>
        <c:majorUnit val="0.25"/>
      </c:valAx>
      <c:catAx>
        <c:axId val="564033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64033480"/>
        <c:crosses val="autoZero"/>
        <c:auto val="1"/>
        <c:lblAlgn val="ctr"/>
        <c:lblOffset val="100"/>
        <c:noMultiLvlLbl val="0"/>
      </c:catAx>
      <c:spPr>
        <a:noFill/>
        <a:ln w="25400" cap="flat">
          <a:solidFill>
            <a:schemeClr val="tx1">
              <a:alpha val="99000"/>
            </a:schemeClr>
          </a:solidFill>
          <a:round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gradFill flip="none" rotWithShape="1">
          <a:gsLst>
            <a:gs pos="34000">
              <a:schemeClr val="tx2">
                <a:lumMod val="10000"/>
                <a:lumOff val="90000"/>
              </a:schemeClr>
            </a:gs>
            <a:gs pos="0">
              <a:schemeClr val="bg1">
                <a:lumMod val="85000"/>
              </a:schemeClr>
            </a:gs>
            <a:gs pos="100000">
              <a:schemeClr val="bg1">
                <a:lumMod val="75000"/>
              </a:schemeClr>
            </a:gs>
          </a:gsLst>
          <a:path path="shape">
            <a:fillToRect l="50000" t="50000" r="50000" b="50000"/>
          </a:path>
          <a:tileRect/>
        </a:gradFill>
        <a:ln w="9525">
          <a:noFill/>
        </a:ln>
        <a:effectLst/>
        <a:sp3d/>
      </c:spPr>
    </c:sideWall>
    <c:backWall>
      <c:thickness val="0"/>
      <c:spPr>
        <a:gradFill flip="none" rotWithShape="1">
          <a:gsLst>
            <a:gs pos="34000">
              <a:schemeClr val="tx2">
                <a:lumMod val="10000"/>
                <a:lumOff val="90000"/>
              </a:schemeClr>
            </a:gs>
            <a:gs pos="0">
              <a:schemeClr val="bg1">
                <a:lumMod val="85000"/>
              </a:schemeClr>
            </a:gs>
            <a:gs pos="100000">
              <a:schemeClr val="bg1">
                <a:lumMod val="75000"/>
              </a:schemeClr>
            </a:gs>
          </a:gsLst>
          <a:path path="shape">
            <a:fillToRect l="50000" t="50000" r="50000" b="50000"/>
          </a:path>
          <a:tileRect/>
        </a:gradFill>
        <a:ln w="9525">
          <a:solidFill>
            <a:schemeClr val="tx1"/>
          </a:solidFill>
        </a:ln>
        <a:effectLst/>
        <a:sp3d contourW="9525">
          <a:contourClr>
            <a:schemeClr val="tx1"/>
          </a:contourClr>
        </a:sp3d>
      </c:spPr>
    </c:backWall>
    <c:plotArea>
      <c:layout>
        <c:manualLayout>
          <c:layoutTarget val="inner"/>
          <c:xMode val="edge"/>
          <c:yMode val="edge"/>
          <c:x val="0.27374442229583901"/>
          <c:y val="5.1366979378933877E-2"/>
          <c:w val="0.66862974927011976"/>
          <c:h val="0.73348296065002583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HealthReport!$D$14</c:f>
              <c:strCache>
                <c:ptCount val="1"/>
                <c:pt idx="0">
                  <c:v>重要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HealthReport!$C$15:$C$22</c:f>
              <c:strCache>
                <c:ptCount val="8"/>
                <c:pt idx="0">
                  <c:v>主机系统分析</c:v>
                </c:pt>
                <c:pt idx="1">
                  <c:v>数据库实例分析</c:v>
                </c:pt>
                <c:pt idx="2">
                  <c:v>数据库集群检查</c:v>
                </c:pt>
                <c:pt idx="3">
                  <c:v>DataGuard检查</c:v>
                </c:pt>
                <c:pt idx="4">
                  <c:v>数据库备份检查</c:v>
                </c:pt>
                <c:pt idx="5">
                  <c:v>数据库安全检查</c:v>
                </c:pt>
                <c:pt idx="6">
                  <c:v>软件使用分析</c:v>
                </c:pt>
                <c:pt idx="7">
                  <c:v>其他项检查</c:v>
                </c:pt>
              </c:strCache>
            </c:strRef>
          </c:cat>
          <c:val>
            <c:numRef>
              <c:f>HealthReport!$D$15:$D$22</c:f>
              <c:numCache>
                <c:formatCode>General</c:formatCode>
                <c:ptCount val="8"/>
                <c:pt idx="0">
                  <c:v>3</c:v>
                </c:pt>
                <c:pt idx="1">
                  <c:v>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5-422E-B41C-38AD1D946952}"/>
            </c:ext>
          </c:extLst>
        </c:ser>
        <c:ser>
          <c:idx val="1"/>
          <c:order val="1"/>
          <c:tx>
            <c:strRef>
              <c:f>HealthReport!$E$14</c:f>
              <c:strCache>
                <c:ptCount val="1"/>
                <c:pt idx="0">
                  <c:v>普通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  <a:contourClr>
                <a:srgbClr val="0070C0"/>
              </a:contourClr>
            </a:sp3d>
          </c:spPr>
          <c:invertIfNegative val="0"/>
          <c:cat>
            <c:strRef>
              <c:f>HealthReport!$C$15:$C$22</c:f>
              <c:strCache>
                <c:ptCount val="8"/>
                <c:pt idx="0">
                  <c:v>主机系统分析</c:v>
                </c:pt>
                <c:pt idx="1">
                  <c:v>数据库实例分析</c:v>
                </c:pt>
                <c:pt idx="2">
                  <c:v>数据库集群检查</c:v>
                </c:pt>
                <c:pt idx="3">
                  <c:v>DataGuard检查</c:v>
                </c:pt>
                <c:pt idx="4">
                  <c:v>数据库备份检查</c:v>
                </c:pt>
                <c:pt idx="5">
                  <c:v>数据库安全检查</c:v>
                </c:pt>
                <c:pt idx="6">
                  <c:v>软件使用分析</c:v>
                </c:pt>
                <c:pt idx="7">
                  <c:v>其他项检查</c:v>
                </c:pt>
              </c:strCache>
            </c:strRef>
          </c:cat>
          <c:val>
            <c:numRef>
              <c:f>HealthReport!$E$15:$E$22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5-422E-B41C-38AD1D946952}"/>
            </c:ext>
          </c:extLst>
        </c:ser>
        <c:ser>
          <c:idx val="2"/>
          <c:order val="2"/>
          <c:tx>
            <c:strRef>
              <c:f>HealthReport!$F$14</c:f>
              <c:strCache>
                <c:ptCount val="1"/>
                <c:pt idx="0">
                  <c:v>轻微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HealthReport!$C$15:$C$22</c:f>
              <c:strCache>
                <c:ptCount val="8"/>
                <c:pt idx="0">
                  <c:v>主机系统分析</c:v>
                </c:pt>
                <c:pt idx="1">
                  <c:v>数据库实例分析</c:v>
                </c:pt>
                <c:pt idx="2">
                  <c:v>数据库集群检查</c:v>
                </c:pt>
                <c:pt idx="3">
                  <c:v>DataGuard检查</c:v>
                </c:pt>
                <c:pt idx="4">
                  <c:v>数据库备份检查</c:v>
                </c:pt>
                <c:pt idx="5">
                  <c:v>数据库安全检查</c:v>
                </c:pt>
                <c:pt idx="6">
                  <c:v>软件使用分析</c:v>
                </c:pt>
                <c:pt idx="7">
                  <c:v>其他项检查</c:v>
                </c:pt>
              </c:strCache>
            </c:strRef>
          </c:cat>
          <c:val>
            <c:numRef>
              <c:f>HealthReport!$F$15:$F$22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B5-422E-B41C-38AD1D946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gapDepth val="390"/>
        <c:shape val="box"/>
        <c:axId val="984238799"/>
        <c:axId val="984241679"/>
        <c:axId val="0"/>
      </c:bar3DChart>
      <c:catAx>
        <c:axId val="98423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241679"/>
        <c:crosses val="autoZero"/>
        <c:auto val="1"/>
        <c:lblAlgn val="l"/>
        <c:lblOffset val="100"/>
        <c:noMultiLvlLbl val="0"/>
      </c:catAx>
      <c:valAx>
        <c:axId val="98424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423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26000">
          <a:schemeClr val="bg1">
            <a:lumMod val="65000"/>
          </a:schemeClr>
        </a:gs>
        <a:gs pos="0">
          <a:schemeClr val="bg1">
            <a:lumMod val="65000"/>
          </a:schemeClr>
        </a:gs>
        <a:gs pos="98000">
          <a:schemeClr val="tx1">
            <a:lumMod val="50000"/>
            <a:lumOff val="50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40239</xdr:colOff>
      <xdr:row>0</xdr:row>
      <xdr:rowOff>162145</xdr:rowOff>
    </xdr:from>
    <xdr:to>
      <xdr:col>10</xdr:col>
      <xdr:colOff>1227795</xdr:colOff>
      <xdr:row>0</xdr:row>
      <xdr:rowOff>834610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FC97509-69C0-FE95-1924-B7AB136F5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3489" y="162145"/>
          <a:ext cx="1972070" cy="672465"/>
        </a:xfrm>
        <a:prstGeom prst="rect">
          <a:avLst/>
        </a:prstGeom>
      </xdr:spPr>
    </xdr:pic>
    <xdr:clientData/>
  </xdr:twoCellAnchor>
  <xdr:twoCellAnchor editAs="oneCell">
    <xdr:from>
      <xdr:col>6</xdr:col>
      <xdr:colOff>935687</xdr:colOff>
      <xdr:row>12</xdr:row>
      <xdr:rowOff>354806</xdr:rowOff>
    </xdr:from>
    <xdr:to>
      <xdr:col>10</xdr:col>
      <xdr:colOff>1199283</xdr:colOff>
      <xdr:row>15</xdr:row>
      <xdr:rowOff>11906</xdr:rowOff>
    </xdr:to>
    <xdr:graphicFrame macro="">
      <xdr:nvGraphicFramePr>
        <xdr:cNvPr id="5" name="Progress chart" descr="Progress bar depicting purchasing progress">
          <a:extLst>
            <a:ext uri="{FF2B5EF4-FFF2-40B4-BE49-F238E27FC236}">
              <a16:creationId xmlns:a16="http://schemas.microsoft.com/office/drawing/2014/main" id="{C6FDBF44-3117-44D3-86FB-4212B72B1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219542</xdr:colOff>
      <xdr:row>15</xdr:row>
      <xdr:rowOff>107122</xdr:rowOff>
    </xdr:from>
    <xdr:to>
      <xdr:col>10</xdr:col>
      <xdr:colOff>579258</xdr:colOff>
      <xdr:row>22</xdr:row>
      <xdr:rowOff>159768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D8602FE4-E55F-EAAD-F8DB-942A483D7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ollege Move Checklist">
      <a:dk1>
        <a:srgbClr val="000000"/>
      </a:dk1>
      <a:lt1>
        <a:srgbClr val="FFFFFF"/>
      </a:lt1>
      <a:dk2>
        <a:srgbClr val="3A0F0D"/>
      </a:dk2>
      <a:lt2>
        <a:srgbClr val="FCF7F3"/>
      </a:lt2>
      <a:accent1>
        <a:srgbClr val="E73D36"/>
      </a:accent1>
      <a:accent2>
        <a:srgbClr val="A7B73E"/>
      </a:accent2>
      <a:accent3>
        <a:srgbClr val="FA9E21"/>
      </a:accent3>
      <a:accent4>
        <a:srgbClr val="42ADBA"/>
      </a:accent4>
      <a:accent5>
        <a:srgbClr val="F7D93B"/>
      </a:accent5>
      <a:accent6>
        <a:srgbClr val="8C405E"/>
      </a:accent6>
      <a:hlink>
        <a:srgbClr val="42ADBA"/>
      </a:hlink>
      <a:folHlink>
        <a:srgbClr val="9E6B9C"/>
      </a:folHlink>
    </a:clrScheme>
    <a:fontScheme name="College Move Checklist">
      <a:majorFont>
        <a:latin typeface="Impact"/>
        <a:ea typeface=""/>
        <a:cs typeface=""/>
      </a:majorFont>
      <a:minorFont>
        <a:latin typeface="Corbe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 tint="-0.249977111117893"/>
    <pageSetUpPr autoPageBreaks="0" fitToPage="1"/>
  </sheetPr>
  <dimension ref="B1:P40"/>
  <sheetViews>
    <sheetView showGridLines="0" tabSelected="1" topLeftCell="A24" zoomScaleNormal="100" zoomScaleSheetLayoutView="100" workbookViewId="0">
      <selection activeCell="H32" sqref="H32"/>
    </sheetView>
  </sheetViews>
  <sheetFormatPr defaultRowHeight="30" customHeight="1" x14ac:dyDescent="0.25"/>
  <cols>
    <col min="1" max="1" width="11.625" customWidth="1"/>
    <col min="2" max="2" width="5.25" style="18" customWidth="1"/>
    <col min="3" max="3" width="15.375" customWidth="1"/>
    <col min="4" max="4" width="12.5" customWidth="1"/>
    <col min="5" max="5" width="6.875" customWidth="1"/>
    <col min="6" max="6" width="8.5" customWidth="1"/>
    <col min="7" max="7" width="13.875" customWidth="1"/>
    <col min="8" max="8" width="15.5" customWidth="1"/>
    <col min="9" max="9" width="12.5" customWidth="1"/>
    <col min="10" max="10" width="10.375" customWidth="1"/>
    <col min="11" max="11" width="16.25" customWidth="1"/>
    <col min="12" max="12" width="6.5" customWidth="1"/>
    <col min="13" max="13" width="5.5" customWidth="1"/>
  </cols>
  <sheetData>
    <row r="1" spans="2:16" ht="73.5" customHeight="1" x14ac:dyDescent="0.25">
      <c r="B1" s="25"/>
      <c r="C1" s="26" t="s">
        <v>0</v>
      </c>
      <c r="D1" s="26"/>
      <c r="E1" s="26"/>
      <c r="F1" s="27"/>
      <c r="G1" s="29" t="s">
        <v>43</v>
      </c>
      <c r="H1" s="27"/>
      <c r="I1" s="27"/>
      <c r="J1" s="27"/>
      <c r="K1" s="28"/>
      <c r="L1" s="28"/>
    </row>
    <row r="2" spans="2:16" ht="27.6" customHeight="1" x14ac:dyDescent="0.25">
      <c r="B2" s="14"/>
      <c r="C2" s="12"/>
      <c r="D2" s="2"/>
      <c r="E2" s="2"/>
      <c r="F2" s="2"/>
      <c r="G2" s="2"/>
      <c r="H2" s="2"/>
      <c r="I2" s="2"/>
      <c r="J2" s="2"/>
      <c r="K2" s="2"/>
      <c r="L2" s="2"/>
    </row>
    <row r="3" spans="2:16" ht="30" customHeight="1" x14ac:dyDescent="0.25">
      <c r="B3" s="14"/>
      <c r="C3" s="3" t="s">
        <v>1</v>
      </c>
      <c r="D3" s="5"/>
      <c r="E3" s="3"/>
      <c r="F3" s="3"/>
      <c r="G3" s="4"/>
      <c r="H3" s="5" t="s">
        <v>2</v>
      </c>
      <c r="I3" s="5"/>
      <c r="J3" s="5"/>
      <c r="K3" s="5"/>
      <c r="L3" s="4"/>
    </row>
    <row r="4" spans="2:16" ht="16.5" x14ac:dyDescent="0.25">
      <c r="B4" s="14"/>
      <c r="C4" s="19" t="s">
        <v>3</v>
      </c>
      <c r="D4" s="21"/>
      <c r="E4" s="21"/>
      <c r="F4" s="21" t="s">
        <v>7</v>
      </c>
      <c r="G4" s="22"/>
      <c r="H4" s="23" t="s">
        <v>30</v>
      </c>
      <c r="I4" s="23"/>
      <c r="J4" s="19"/>
      <c r="K4" s="19" t="s">
        <v>17</v>
      </c>
      <c r="L4" s="8"/>
    </row>
    <row r="5" spans="2:16" ht="16.5" x14ac:dyDescent="0.25">
      <c r="B5" s="14"/>
      <c r="C5" s="19" t="s">
        <v>4</v>
      </c>
      <c r="D5" s="21"/>
      <c r="E5" s="21"/>
      <c r="F5" s="21" t="s">
        <v>8</v>
      </c>
      <c r="G5" s="22"/>
      <c r="H5" s="19" t="s">
        <v>18</v>
      </c>
      <c r="I5" s="19"/>
      <c r="J5" s="23"/>
      <c r="K5" s="19" t="s">
        <v>31</v>
      </c>
      <c r="L5" s="8"/>
    </row>
    <row r="6" spans="2:16" ht="30" customHeight="1" x14ac:dyDescent="0.25">
      <c r="B6" s="14"/>
      <c r="C6" s="19" t="s">
        <v>5</v>
      </c>
      <c r="D6" s="19"/>
      <c r="E6" s="19"/>
      <c r="F6" s="19" t="s">
        <v>9</v>
      </c>
      <c r="G6" s="22"/>
      <c r="H6" s="19" t="s">
        <v>19</v>
      </c>
      <c r="I6" s="19"/>
      <c r="J6" s="19"/>
      <c r="K6" s="19" t="s">
        <v>20</v>
      </c>
      <c r="L6" s="8"/>
    </row>
    <row r="7" spans="2:16" ht="26.25" customHeight="1" x14ac:dyDescent="0.25">
      <c r="B7" s="14"/>
      <c r="C7" s="19" t="s">
        <v>6</v>
      </c>
      <c r="D7" s="23"/>
      <c r="E7" s="19"/>
      <c r="F7" s="19" t="s">
        <v>10</v>
      </c>
      <c r="G7" s="22"/>
      <c r="H7" s="19" t="s">
        <v>21</v>
      </c>
      <c r="I7" s="19"/>
      <c r="J7" s="19"/>
      <c r="K7" s="19" t="s">
        <v>32</v>
      </c>
      <c r="L7" s="8"/>
      <c r="P7" s="1">
        <f>IFERROR(COUNTIFS(HealthReport!$H$27:$H$39,"&gt;0",HealthReport!$L$27:$L$39,"&gt;0")/SumItemsToBuy,0)</f>
        <v>0</v>
      </c>
    </row>
    <row r="8" spans="2:16" ht="30" customHeight="1" x14ac:dyDescent="0.25">
      <c r="B8" s="14"/>
      <c r="C8" s="19" t="s">
        <v>11</v>
      </c>
      <c r="D8" s="19"/>
      <c r="E8" s="19"/>
      <c r="F8" s="19" t="s">
        <v>12</v>
      </c>
      <c r="G8" s="24"/>
      <c r="H8" s="19" t="s">
        <v>22</v>
      </c>
      <c r="I8" s="19"/>
      <c r="J8" s="19"/>
      <c r="K8" s="19" t="s">
        <v>23</v>
      </c>
      <c r="L8" s="8"/>
    </row>
    <row r="9" spans="2:16" ht="30" customHeight="1" x14ac:dyDescent="0.25">
      <c r="B9" s="14"/>
      <c r="C9" s="19" t="s">
        <v>13</v>
      </c>
      <c r="D9" s="19"/>
      <c r="E9" s="19"/>
      <c r="F9" s="19" t="s">
        <v>14</v>
      </c>
      <c r="G9" s="24"/>
      <c r="H9" s="19" t="s">
        <v>28</v>
      </c>
      <c r="I9" s="19"/>
      <c r="J9" s="19"/>
      <c r="K9" s="19" t="s">
        <v>29</v>
      </c>
      <c r="L9" s="8"/>
    </row>
    <row r="10" spans="2:16" ht="30" customHeight="1" x14ac:dyDescent="0.25">
      <c r="B10" s="14"/>
      <c r="C10" s="19" t="s">
        <v>15</v>
      </c>
      <c r="D10" s="19"/>
      <c r="E10" s="19"/>
      <c r="F10" s="19" t="s">
        <v>16</v>
      </c>
      <c r="G10" s="24"/>
      <c r="H10" s="19" t="s">
        <v>24</v>
      </c>
      <c r="I10" s="19"/>
      <c r="J10" s="19"/>
      <c r="K10" s="19" t="s">
        <v>25</v>
      </c>
      <c r="L10" s="8"/>
    </row>
    <row r="11" spans="2:16" ht="30" customHeight="1" thickBot="1" x14ac:dyDescent="0.3">
      <c r="B11" s="14"/>
      <c r="C11" s="19"/>
      <c r="D11" s="19"/>
      <c r="E11" s="19"/>
      <c r="F11" s="19"/>
      <c r="G11" s="24"/>
      <c r="H11" s="19" t="s">
        <v>26</v>
      </c>
      <c r="I11" s="19"/>
      <c r="J11" s="19"/>
      <c r="K11" s="19" t="s">
        <v>27</v>
      </c>
      <c r="L11" s="8"/>
    </row>
    <row r="12" spans="2:16" ht="30" customHeight="1" thickTop="1" x14ac:dyDescent="0.25">
      <c r="B12" s="15"/>
      <c r="C12" s="9"/>
      <c r="D12" s="10"/>
      <c r="E12" s="10"/>
      <c r="F12" s="10"/>
      <c r="G12" s="8"/>
      <c r="H12" s="9"/>
      <c r="I12" s="9"/>
      <c r="J12" s="10"/>
      <c r="K12" s="10"/>
      <c r="L12" s="8"/>
    </row>
    <row r="13" spans="2:16" ht="30" customHeight="1" x14ac:dyDescent="0.25">
      <c r="B13" s="15"/>
      <c r="C13" s="5" t="s">
        <v>33</v>
      </c>
      <c r="D13" s="5"/>
      <c r="E13" s="3"/>
      <c r="F13" s="3"/>
      <c r="G13" s="8"/>
      <c r="H13" s="5" t="str">
        <f>"Health status ("&amp;COUNTIFS(HealthReport!$L$27:$L$39, "&gt;0")&amp;" of "&amp;COUNTIFS(HealthReport!$H$27:$H$39, "&gt;0")&amp;")"</f>
        <v>Health status (0 of 0)</v>
      </c>
      <c r="I13" s="8"/>
      <c r="J13" s="8"/>
      <c r="K13" s="8"/>
      <c r="L13" s="8"/>
    </row>
    <row r="14" spans="2:16" ht="30" customHeight="1" x14ac:dyDescent="0.25">
      <c r="B14" s="15"/>
      <c r="C14" s="8"/>
      <c r="D14" s="20" t="s">
        <v>40</v>
      </c>
      <c r="E14" s="20" t="s">
        <v>72</v>
      </c>
      <c r="F14" s="20" t="s">
        <v>41</v>
      </c>
      <c r="G14" s="8"/>
      <c r="H14" s="8"/>
      <c r="I14" s="8"/>
      <c r="J14" s="8"/>
      <c r="K14" s="8"/>
      <c r="L14" s="8"/>
    </row>
    <row r="15" spans="2:16" ht="30" customHeight="1" x14ac:dyDescent="0.25">
      <c r="B15" s="15"/>
      <c r="C15" s="19" t="s">
        <v>42</v>
      </c>
      <c r="D15" s="6">
        <v>3</v>
      </c>
      <c r="E15" s="6">
        <v>5</v>
      </c>
      <c r="F15" s="6">
        <v>1</v>
      </c>
      <c r="G15" s="8"/>
      <c r="H15" s="8"/>
      <c r="I15" s="8"/>
      <c r="J15" s="8"/>
      <c r="K15" s="8"/>
      <c r="L15" s="8"/>
    </row>
    <row r="16" spans="2:16" ht="30" customHeight="1" x14ac:dyDescent="0.25">
      <c r="B16" s="15"/>
      <c r="C16" s="19" t="s">
        <v>35</v>
      </c>
      <c r="D16" s="6">
        <v>5</v>
      </c>
      <c r="E16" s="6">
        <v>5</v>
      </c>
      <c r="F16" s="6">
        <v>5</v>
      </c>
      <c r="G16" s="8"/>
      <c r="H16" s="8"/>
      <c r="I16" s="8"/>
      <c r="J16" s="8"/>
      <c r="K16" s="8"/>
      <c r="L16" s="8"/>
    </row>
    <row r="17" spans="2:12" ht="30" customHeight="1" x14ac:dyDescent="0.25">
      <c r="B17" s="15"/>
      <c r="C17" s="19" t="s">
        <v>34</v>
      </c>
      <c r="D17" s="6">
        <v>1</v>
      </c>
      <c r="E17" s="6">
        <v>0</v>
      </c>
      <c r="F17" s="6">
        <v>0</v>
      </c>
      <c r="G17" s="8"/>
      <c r="H17" s="8"/>
      <c r="I17" s="5"/>
      <c r="J17" s="8"/>
      <c r="K17" s="8"/>
      <c r="L17" s="8"/>
    </row>
    <row r="18" spans="2:12" ht="30" customHeight="1" x14ac:dyDescent="0.25">
      <c r="B18" s="15"/>
      <c r="C18" s="19" t="s">
        <v>54</v>
      </c>
      <c r="D18" s="6">
        <v>0</v>
      </c>
      <c r="E18" s="6">
        <v>0</v>
      </c>
      <c r="F18" s="6">
        <v>0</v>
      </c>
      <c r="G18" s="8"/>
      <c r="H18" s="8"/>
      <c r="I18" s="8"/>
      <c r="J18" s="8"/>
      <c r="K18" s="8"/>
      <c r="L18" s="8"/>
    </row>
    <row r="19" spans="2:12" ht="30" customHeight="1" x14ac:dyDescent="0.25">
      <c r="B19" s="15"/>
      <c r="C19" s="19" t="s">
        <v>36</v>
      </c>
      <c r="D19" s="6">
        <v>0</v>
      </c>
      <c r="E19" s="6">
        <v>0</v>
      </c>
      <c r="F19" s="6">
        <v>0</v>
      </c>
      <c r="G19" s="8"/>
      <c r="H19" s="8"/>
      <c r="I19" s="8"/>
      <c r="J19" s="8"/>
      <c r="K19" s="8"/>
      <c r="L19" s="8"/>
    </row>
    <row r="20" spans="2:12" ht="30" customHeight="1" x14ac:dyDescent="0.25">
      <c r="B20" s="15"/>
      <c r="C20" s="19" t="s">
        <v>37</v>
      </c>
      <c r="D20" s="6">
        <v>0</v>
      </c>
      <c r="E20" s="6">
        <v>0</v>
      </c>
      <c r="F20" s="6">
        <v>0</v>
      </c>
      <c r="G20" s="4"/>
      <c r="H20" s="8"/>
      <c r="I20" s="8"/>
      <c r="J20" s="8"/>
      <c r="K20" s="8"/>
      <c r="L20" s="8"/>
    </row>
    <row r="21" spans="2:12" ht="30" customHeight="1" x14ac:dyDescent="0.25">
      <c r="B21" s="15"/>
      <c r="C21" s="19" t="s">
        <v>38</v>
      </c>
      <c r="D21" s="6">
        <v>0</v>
      </c>
      <c r="E21" s="6">
        <v>0</v>
      </c>
      <c r="F21" s="6">
        <v>0</v>
      </c>
      <c r="G21" s="4"/>
      <c r="H21" s="8"/>
      <c r="I21" s="8"/>
      <c r="J21" s="8"/>
      <c r="K21" s="8"/>
      <c r="L21" s="8"/>
    </row>
    <row r="22" spans="2:12" ht="30" customHeight="1" x14ac:dyDescent="0.25">
      <c r="B22" s="15"/>
      <c r="C22" s="19" t="s">
        <v>39</v>
      </c>
      <c r="D22" s="6">
        <v>0</v>
      </c>
      <c r="E22" s="6">
        <v>0</v>
      </c>
      <c r="F22" s="6">
        <v>0</v>
      </c>
      <c r="G22" s="4"/>
      <c r="H22" s="8"/>
      <c r="I22" s="8"/>
      <c r="J22" s="8"/>
      <c r="K22" s="8"/>
      <c r="L22" s="8"/>
    </row>
    <row r="23" spans="2:12" ht="30" customHeight="1" thickBot="1" x14ac:dyDescent="0.3">
      <c r="B23" s="15"/>
      <c r="C23" s="13"/>
      <c r="D23" s="7"/>
      <c r="E23" s="7"/>
      <c r="F23" s="7"/>
      <c r="G23" s="4"/>
      <c r="H23" s="8"/>
      <c r="I23" s="8"/>
      <c r="J23" s="8"/>
      <c r="K23" s="8"/>
      <c r="L23" s="8"/>
    </row>
    <row r="24" spans="2:12" ht="30" customHeight="1" thickTop="1" x14ac:dyDescent="0.25">
      <c r="B24" s="15"/>
      <c r="C24" s="9"/>
      <c r="D24" s="10"/>
      <c r="E24" s="10"/>
      <c r="F24" s="10"/>
      <c r="G24" s="4"/>
      <c r="H24" s="8"/>
      <c r="I24" s="8"/>
      <c r="J24" s="8"/>
      <c r="K24" s="8"/>
      <c r="L24" s="8"/>
    </row>
    <row r="25" spans="2:12" ht="35.1" customHeight="1" x14ac:dyDescent="0.25">
      <c r="B25" s="16"/>
      <c r="C25" s="5" t="s">
        <v>44</v>
      </c>
      <c r="D25" s="11"/>
      <c r="E25" s="11"/>
      <c r="F25" s="11"/>
      <c r="G25" s="11"/>
      <c r="H25" s="11"/>
      <c r="I25" s="11"/>
      <c r="J25" s="11"/>
      <c r="K25" s="11"/>
      <c r="L25" s="11"/>
    </row>
    <row r="26" spans="2:12" ht="24.95" customHeight="1" thickBot="1" x14ac:dyDescent="0.3">
      <c r="B26" s="31" t="s">
        <v>45</v>
      </c>
      <c r="C26" s="30" t="s">
        <v>47</v>
      </c>
      <c r="D26" s="30" t="s">
        <v>53</v>
      </c>
      <c r="E26" s="30"/>
      <c r="F26" s="30" t="s">
        <v>55</v>
      </c>
      <c r="G26" s="30" t="s">
        <v>68</v>
      </c>
      <c r="H26" s="32" t="s">
        <v>46</v>
      </c>
      <c r="I26" s="31"/>
      <c r="J26" s="31"/>
      <c r="K26" s="33"/>
      <c r="L26" s="60">
        <f>SUM(HealthReport!$F$27:$F$39)/130</f>
        <v>0.52307692307692311</v>
      </c>
    </row>
    <row r="27" spans="2:12" ht="30" customHeight="1" thickTop="1" x14ac:dyDescent="0.25">
      <c r="B27" s="40">
        <v>1</v>
      </c>
      <c r="C27" s="41" t="s">
        <v>42</v>
      </c>
      <c r="D27" s="42" t="s">
        <v>69</v>
      </c>
      <c r="E27" s="43"/>
      <c r="F27" s="44">
        <v>10</v>
      </c>
      <c r="G27" s="45" t="str" cm="1">
        <f t="array" ref="G27">_xlfn.IFS(HealthReport!$F27&gt;=10,"PASS",HealthReport!$F27=8,"轻微",HealthReport!$F27=5,"普通",HealthReport!$F27=0,"重要")</f>
        <v>PASS</v>
      </c>
      <c r="H27" s="43"/>
      <c r="I27" s="43"/>
      <c r="J27" s="43"/>
      <c r="K27" s="46"/>
      <c r="L27" s="46"/>
    </row>
    <row r="28" spans="2:12" ht="30" customHeight="1" x14ac:dyDescent="0.25">
      <c r="B28" s="47">
        <v>2</v>
      </c>
      <c r="C28" s="48" t="s">
        <v>48</v>
      </c>
      <c r="D28" s="49" t="s">
        <v>56</v>
      </c>
      <c r="E28" s="48"/>
      <c r="F28" s="50">
        <v>10</v>
      </c>
      <c r="G28" s="51" t="str" cm="1">
        <f t="array" ref="G28">_xlfn.IFS(HealthReport!$F28&gt;=10,"PASS",HealthReport!$F28=8,"轻微",HealthReport!$F28=5,"普通",HealthReport!$F28=0,"重要")</f>
        <v>PASS</v>
      </c>
      <c r="H28" s="48"/>
      <c r="I28" s="48"/>
      <c r="J28" s="48"/>
      <c r="K28" s="52"/>
      <c r="L28" s="52"/>
    </row>
    <row r="29" spans="2:12" ht="30" customHeight="1" x14ac:dyDescent="0.25">
      <c r="B29" s="40">
        <v>3</v>
      </c>
      <c r="C29" s="43" t="s">
        <v>48</v>
      </c>
      <c r="D29" s="53" t="s">
        <v>70</v>
      </c>
      <c r="E29" s="43"/>
      <c r="F29" s="44">
        <v>10</v>
      </c>
      <c r="G29" s="45" t="str" cm="1">
        <f t="array" ref="G29">_xlfn.IFS(HealthReport!$F29&gt;=10,"PASS",HealthReport!$F29=8,"轻微",HealthReport!$F29=5,"普通",HealthReport!$F29=0,"重要")</f>
        <v>PASS</v>
      </c>
      <c r="H29" s="43"/>
      <c r="I29" s="43"/>
      <c r="J29" s="43"/>
      <c r="K29" s="46"/>
      <c r="L29" s="46"/>
    </row>
    <row r="30" spans="2:12" ht="30" customHeight="1" x14ac:dyDescent="0.25">
      <c r="B30" s="47">
        <v>4</v>
      </c>
      <c r="C30" s="48" t="s">
        <v>48</v>
      </c>
      <c r="D30" s="49" t="s">
        <v>58</v>
      </c>
      <c r="E30" s="48"/>
      <c r="F30" s="50">
        <v>5</v>
      </c>
      <c r="G30" s="51" t="str" cm="1">
        <f t="array" ref="G30">_xlfn.IFS(HealthReport!$F30&gt;=10,"PASS",HealthReport!$F30=8,"轻微",HealthReport!$F30=5,"普通",HealthReport!$F30=0,"重要")</f>
        <v>普通</v>
      </c>
      <c r="H30" s="61" t="s">
        <v>138</v>
      </c>
      <c r="I30" s="61"/>
      <c r="J30" s="61"/>
      <c r="K30" s="61"/>
      <c r="L30" s="52" t="str">
        <f>HYPERLINK("#OS!B5","Detail")</f>
        <v>Detail</v>
      </c>
    </row>
    <row r="31" spans="2:12" ht="30" customHeight="1" x14ac:dyDescent="0.25">
      <c r="B31" s="40">
        <v>5</v>
      </c>
      <c r="C31" s="43" t="s">
        <v>48</v>
      </c>
      <c r="D31" s="53" t="s">
        <v>60</v>
      </c>
      <c r="E31" s="43"/>
      <c r="F31" s="44">
        <v>10</v>
      </c>
      <c r="G31" s="45" t="str" cm="1">
        <f t="array" ref="G31">_xlfn.IFS(HealthReport!$F31&gt;=10,"PASS",HealthReport!$F31=8,"轻微",HealthReport!$F31=5,"普通",HealthReport!$F31=0,"重要")</f>
        <v>PASS</v>
      </c>
      <c r="H31" s="43"/>
      <c r="I31" s="43"/>
      <c r="J31" s="43"/>
      <c r="K31" s="54"/>
      <c r="L31" s="46" t="str">
        <f t="shared" ref="L31:L39" si="0">HYPERLINK("#OS!A1","Detail")</f>
        <v>Detail</v>
      </c>
    </row>
    <row r="32" spans="2:12" ht="30" customHeight="1" x14ac:dyDescent="0.25">
      <c r="B32" s="47">
        <v>6</v>
      </c>
      <c r="C32" s="48" t="s">
        <v>48</v>
      </c>
      <c r="D32" s="49" t="s">
        <v>61</v>
      </c>
      <c r="E32" s="48"/>
      <c r="F32" s="50">
        <v>10</v>
      </c>
      <c r="G32" s="51" t="str" cm="1">
        <f t="array" ref="G32">_xlfn.IFS(HealthReport!$F32&gt;=10,"PASS",HealthReport!$F32=8,"轻微",HealthReport!$F32=5,"普通",HealthReport!$F32=0,"重要")</f>
        <v>PASS</v>
      </c>
      <c r="H32" s="48"/>
      <c r="I32" s="48"/>
      <c r="J32" s="48"/>
      <c r="K32" s="52"/>
      <c r="L32" s="52" t="str">
        <f t="shared" si="0"/>
        <v>Detail</v>
      </c>
    </row>
    <row r="33" spans="2:12" ht="30" customHeight="1" x14ac:dyDescent="0.25">
      <c r="B33" s="40">
        <v>7</v>
      </c>
      <c r="C33" s="43" t="s">
        <v>49</v>
      </c>
      <c r="D33" s="53" t="s">
        <v>62</v>
      </c>
      <c r="E33" s="43"/>
      <c r="F33" s="44">
        <v>8</v>
      </c>
      <c r="G33" s="45" t="str" cm="1">
        <f t="array" ref="G33">_xlfn.IFS(HealthReport!$F33&gt;=10,"PASS",HealthReport!$F33=8,"轻微",HealthReport!$F33=5,"普通",HealthReport!$F33=0,"重要")</f>
        <v>轻微</v>
      </c>
      <c r="H33" s="43"/>
      <c r="I33" s="43"/>
      <c r="J33" s="43"/>
      <c r="K33" s="46"/>
      <c r="L33" s="46" t="str">
        <f t="shared" si="0"/>
        <v>Detail</v>
      </c>
    </row>
    <row r="34" spans="2:12" ht="30" customHeight="1" x14ac:dyDescent="0.25">
      <c r="B34" s="47">
        <v>8</v>
      </c>
      <c r="C34" s="48" t="s">
        <v>49</v>
      </c>
      <c r="D34" s="49" t="s">
        <v>63</v>
      </c>
      <c r="E34" s="48"/>
      <c r="F34" s="50">
        <v>5</v>
      </c>
      <c r="G34" s="51" t="str" cm="1">
        <f t="array" ref="G34">_xlfn.IFS(HealthReport!$F34&gt;=10,"PASS",HealthReport!$F34=8,"轻微",HealthReport!$F34=5,"普通",HealthReport!$F34=0,"重要")</f>
        <v>普通</v>
      </c>
      <c r="H34" s="48"/>
      <c r="I34" s="48"/>
      <c r="J34" s="48"/>
      <c r="K34" s="52"/>
      <c r="L34" s="52" t="str">
        <f t="shared" si="0"/>
        <v>Detail</v>
      </c>
    </row>
    <row r="35" spans="2:12" ht="30" customHeight="1" x14ac:dyDescent="0.25">
      <c r="B35" s="40">
        <v>9</v>
      </c>
      <c r="C35" s="43" t="s">
        <v>49</v>
      </c>
      <c r="D35" s="53" t="s">
        <v>71</v>
      </c>
      <c r="E35" s="43"/>
      <c r="F35" s="44">
        <v>0</v>
      </c>
      <c r="G35" s="45" t="str" cm="1">
        <f t="array" ref="G35">_xlfn.IFS(HealthReport!$F35&gt;=10,"PASS",HealthReport!$F35=8,"轻微",HealthReport!$F35=5,"普通",HealthReport!$F35=0,"重要")</f>
        <v>重要</v>
      </c>
      <c r="H35" s="43"/>
      <c r="I35" s="43"/>
      <c r="J35" s="43"/>
      <c r="K35" s="46"/>
      <c r="L35" s="46" t="str">
        <f t="shared" si="0"/>
        <v>Detail</v>
      </c>
    </row>
    <row r="36" spans="2:12" ht="30" customHeight="1" x14ac:dyDescent="0.25">
      <c r="B36" s="47">
        <v>10</v>
      </c>
      <c r="C36" s="48" t="s">
        <v>49</v>
      </c>
      <c r="D36" s="49" t="s">
        <v>65</v>
      </c>
      <c r="E36" s="48"/>
      <c r="F36" s="50">
        <v>0</v>
      </c>
      <c r="G36" s="51" t="str" cm="1">
        <f t="array" ref="G36">_xlfn.IFS(HealthReport!$F36&gt;=10,"PASS",HealthReport!$F36=8,"轻微",HealthReport!$F36=5,"普通",HealthReport!$F36=0,"重要")</f>
        <v>重要</v>
      </c>
      <c r="H36" s="48"/>
      <c r="I36" s="48"/>
      <c r="J36" s="48"/>
      <c r="K36" s="52"/>
      <c r="L36" s="52" t="str">
        <f t="shared" si="0"/>
        <v>Detail</v>
      </c>
    </row>
    <row r="37" spans="2:12" ht="30" customHeight="1" x14ac:dyDescent="0.25">
      <c r="B37" s="40">
        <v>11</v>
      </c>
      <c r="C37" s="43" t="s">
        <v>52</v>
      </c>
      <c r="D37" s="43" t="s">
        <v>67</v>
      </c>
      <c r="E37" s="43"/>
      <c r="F37" s="44">
        <v>0</v>
      </c>
      <c r="G37" s="45" t="str" cm="1">
        <f t="array" ref="G37">_xlfn.IFS(HealthReport!$F37&gt;=10,"PASS",HealthReport!$F37=8,"轻微",HealthReport!$F37=5,"普通",HealthReport!$F37=0,"重要")</f>
        <v>重要</v>
      </c>
      <c r="H37" s="43"/>
      <c r="I37" s="43"/>
      <c r="J37" s="43"/>
      <c r="K37" s="46"/>
      <c r="L37" s="46" t="str">
        <f t="shared" si="0"/>
        <v>Detail</v>
      </c>
    </row>
    <row r="38" spans="2:12" ht="30" customHeight="1" x14ac:dyDescent="0.25">
      <c r="B38" s="47">
        <v>12</v>
      </c>
      <c r="C38" s="48" t="s">
        <v>51</v>
      </c>
      <c r="D38" s="48"/>
      <c r="E38" s="48"/>
      <c r="F38" s="50">
        <v>0</v>
      </c>
      <c r="G38" s="51" t="str" cm="1">
        <f t="array" ref="G38">_xlfn.IFS(HealthReport!$F38&gt;=10,"PASS",HealthReport!$F38=8,"轻微",HealthReport!$F38=5,"普通",HealthReport!$F38=0,"重要")</f>
        <v>重要</v>
      </c>
      <c r="H38" s="48"/>
      <c r="I38" s="48"/>
      <c r="J38" s="48"/>
      <c r="K38" s="52"/>
      <c r="L38" s="52" t="str">
        <f t="shared" si="0"/>
        <v>Detail</v>
      </c>
    </row>
    <row r="39" spans="2:12" ht="30" customHeight="1" x14ac:dyDescent="0.25">
      <c r="B39" s="17">
        <v>13</v>
      </c>
      <c r="C39" s="55" t="s">
        <v>50</v>
      </c>
      <c r="D39" s="55"/>
      <c r="E39" s="55"/>
      <c r="F39" s="56">
        <v>0</v>
      </c>
      <c r="G39" s="57" t="str" cm="1">
        <f t="array" ref="G39">_xlfn.IFS(HealthReport!$F39&gt;=10,"PASS",HealthReport!$F39=8,"轻微",HealthReport!$F39=5,"普通",HealthReport!$F39=0,"重要")</f>
        <v>重要</v>
      </c>
      <c r="H39" s="55"/>
      <c r="I39" s="55"/>
      <c r="J39" s="55"/>
      <c r="K39" s="58"/>
      <c r="L39" s="58" t="str">
        <f t="shared" si="0"/>
        <v>Detail</v>
      </c>
    </row>
    <row r="40" spans="2:12" ht="30" customHeight="1" x14ac:dyDescent="0.25">
      <c r="G40" s="18"/>
    </row>
  </sheetData>
  <dataConsolidate/>
  <mergeCells count="1">
    <mergeCell ref="H30:K30"/>
  </mergeCells>
  <phoneticPr fontId="14" type="noConversion"/>
  <conditionalFormatting sqref="B13:B24">
    <cfRule type="notContainsBlanks" dxfId="7" priority="3">
      <formula>LEN(TRIM(B13))&gt;0</formula>
    </cfRule>
  </conditionalFormatting>
  <conditionalFormatting sqref="B14:C14">
    <cfRule type="notContainsBlanks" dxfId="6" priority="4">
      <formula>LEN(TRIM(B14))&gt;0</formula>
    </cfRule>
  </conditionalFormatting>
  <conditionalFormatting sqref="B12:L12 J13:L17 H17 H18:L24">
    <cfRule type="notContainsBlanks" dxfId="5" priority="17">
      <formula>LEN(TRIM(B12))&gt;0</formula>
    </cfRule>
  </conditionalFormatting>
  <conditionalFormatting sqref="G8:G11 G13:G19">
    <cfRule type="notContainsBlanks" dxfId="4" priority="18">
      <formula>LEN(TRIM(G8))&gt;0</formula>
    </cfRule>
  </conditionalFormatting>
  <conditionalFormatting sqref="H14:H15">
    <cfRule type="notContainsBlanks" dxfId="3" priority="10">
      <formula>LEN(TRIM(H14))&gt;0</formula>
    </cfRule>
  </conditionalFormatting>
  <conditionalFormatting sqref="H16:I16">
    <cfRule type="notContainsBlanks" dxfId="2" priority="16">
      <formula>LEN(TRIM(H16))&gt;0</formula>
    </cfRule>
  </conditionalFormatting>
  <conditionalFormatting sqref="I13:I15">
    <cfRule type="notContainsBlanks" dxfId="1" priority="7">
      <formula>LEN(TRIM(I13))&gt;0</formula>
    </cfRule>
  </conditionalFormatting>
  <conditionalFormatting sqref="L4:L11 P7">
    <cfRule type="notContainsBlanks" dxfId="0" priority="19">
      <formula>LEN(TRIM(L4))&gt;0</formula>
    </cfRule>
  </conditionalFormatting>
  <dataValidations xWindow="226" yWindow="621" count="13">
    <dataValidation allowBlank="1" showInputMessage="1" showErrorMessage="1" prompt="Title of this worksheet is in cells B1 through C1. Enter School Supplies in table starting in cell B8. Enter budget in cell C5" sqref="C1" xr:uid="{00000000-0002-0000-0000-000000000000}"/>
    <dataValidation allowBlank="1" showInputMessage="1" showErrorMessage="1" prompt="Enter Budget in cell C5. Shopping List Total in cell C6 and Remaining Cash in cell C7 are automatically calculated based on entries in Checklist table" sqref="H3:K3 E12:F14 C13:D14 C3:F3" xr:uid="{00000000-0002-0000-0000-000001000000}"/>
    <dataValidation allowBlank="1" showInputMessage="1" showErrorMessage="1" prompt="Enter Budget in cell at right" sqref="C4 C7 H4:I4 H7:I7 C15 C18" xr:uid="{00000000-0002-0000-0000-000002000000}"/>
    <dataValidation allowBlank="1" showInputMessage="1" showErrorMessage="1" prompt="Shopping List Total is automatically calculated in cell at right" sqref="C5 C8 H5:I5 H8:I8 C16 C19" xr:uid="{00000000-0002-0000-0000-000003000000}"/>
    <dataValidation allowBlank="1" showInputMessage="1" showErrorMessage="1" prompt="Shopping List Total is automatically calculated in this cell" sqref="D8:F8 J5:K5 J8:K8 D16:F16 D5:F5 D19:F19" xr:uid="{00000000-0002-0000-0000-000004000000}"/>
    <dataValidation allowBlank="1" showInputMessage="1" showErrorMessage="1" prompt="Enter Budget in this cell" sqref="D7:F7 J4:K4 J7:K7 D15:F15 D4:F4 D18:F18" xr:uid="{00000000-0002-0000-0000-000005000000}"/>
    <dataValidation allowBlank="1" showInputMessage="1" showErrorMessage="1" prompt="Remaining Cash is automatically calculated in cell at right" sqref="C6 C9:C12 H6:I6 C17 H10:I12 C20:C24" xr:uid="{00000000-0002-0000-0000-000006000000}"/>
    <dataValidation allowBlank="1" showInputMessage="1" showErrorMessage="1" prompt="Remaining Cash is automatically calculated in this cell" sqref="J6:K6 D17:F17 D9:F12 D6:F6 D20:F24 J10:K12" xr:uid="{00000000-0002-0000-0000-000007000000}"/>
    <dataValidation allowBlank="1" showInputMessage="1" showErrorMessage="1" prompt="Purchasing Progress bar is in cells E5 through H7" sqref="P7 H12:I12 G8:G19 C12:F12 L4:L11 H18:I24 H17 H13 H14:I14 H16:I16 H15 J12:L24" xr:uid="{00000000-0002-0000-0000-000009000000}"/>
    <dataValidation allowBlank="1" showInputMessage="1" showErrorMessage="1" prompt="Enter Shopping details in table below. Category list is automatically updated from Category table" sqref="C25" xr:uid="{00000000-0002-0000-0000-00000A000000}"/>
    <dataValidation allowBlank="1" showInputMessage="1" showErrorMessage="1" prompt="Purchasing Progress bar is in cells below" sqref="H13" xr:uid="{00000000-0002-0000-0000-000008000000}"/>
    <dataValidation type="list" allowBlank="1" showInputMessage="1" showErrorMessage="1" sqref="C27:C39" xr:uid="{9A7EB216-EA1D-4A3D-B9E3-20B91A83DBC8}">
      <formula1>$C$15:$C$22</formula1>
    </dataValidation>
    <dataValidation errorStyle="warning" allowBlank="1" showInputMessage="1" showErrorMessage="1" error="Select Category from the list. Enter new categories in Category worksheet. Select CANCEL, then press ALT+DOWN ARROW for options, then DOWN ARROW and ENTER to make selection" sqref="D27:E39" xr:uid="{00000000-0002-0000-0000-000013000000}"/>
  </dataValidations>
  <printOptions horizontalCentered="1"/>
  <pageMargins left="0.7" right="0.7" top="0.75" bottom="0.75" header="0.3" footer="0.3"/>
  <pageSetup scale="58" fitToHeight="0" orientation="portrait" r:id="rId1"/>
  <headerFooter differentFirst="1">
    <oddFooter>Page &amp;P of &amp;N</oddFooter>
  </headerFooter>
  <ignoredErrors>
    <ignoredError sqref="F8:F9" numberStoredAsText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7E11CA3-AE2E-4AE0-8760-69AFD47E19CB}">
            <x14:iconSet iconSet="3Symbols" showValue="0" custom="1">
              <x14:cfvo type="percent">
                <xm:f>0</xm:f>
              </x14:cfvo>
              <x14:cfvo type="num">
                <xm:f>5</xm:f>
              </x14:cfvo>
              <x14:cfvo type="num">
                <xm:f>10</xm:f>
              </x14:cfvo>
              <x14:cfIcon iconSet="3Symbols" iconId="0"/>
              <x14:cfIcon iconSet="3Symbols" iconId="1"/>
              <x14:cfIcon iconSet="3Symbols2" iconId="2"/>
            </x14:iconSet>
          </x14:cfRule>
          <xm:sqref>F27:F39</xm:sqref>
        </x14:conditionalFormatting>
        <x14:conditionalFormatting xmlns:xm="http://schemas.microsoft.com/office/excel/2006/main">
          <x14:cfRule type="iconSet" priority="126" id="{904FC827-5D32-400A-97DB-D891D8D2E589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H27 J27 H28:J29 H33:J39 I31:J32 H30</xm:sqref>
        </x14:conditionalFormatting>
        <x14:conditionalFormatting xmlns:xm="http://schemas.microsoft.com/office/excel/2006/main">
          <x14:cfRule type="iconSet" priority="128" id="{91FC4C5D-AF8B-4E30-B194-1E2B2576DFF5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K28:K29 K31:K39</xm:sqref>
        </x14:conditionalFormatting>
        <x14:conditionalFormatting xmlns:xm="http://schemas.microsoft.com/office/excel/2006/main">
          <x14:cfRule type="iconSet" priority="127" id="{D6CA9112-E31E-493B-AC44-8CFD7A9AFAFB}">
            <x14:iconSet iconSet="3Symbols" showValue="0" custom="1">
              <x14:cfvo type="percent">
                <xm:f>0</xm:f>
              </x14:cfvo>
              <x14:cfvo type="num" gte="0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L28:L39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A4F4-B1FA-4569-9A5C-4430E8288027}">
  <dimension ref="A1:Z13"/>
  <sheetViews>
    <sheetView workbookViewId="0">
      <pane xSplit="1" ySplit="2" topLeftCell="B3" activePane="bottomRight" state="frozen"/>
      <selection activeCell="B3" sqref="B3"/>
      <selection pane="topRight" activeCell="B3" sqref="B3"/>
      <selection pane="bottomLeft" activeCell="B3" sqref="B3"/>
      <selection pane="bottomRight" activeCell="A3" sqref="A3"/>
    </sheetView>
  </sheetViews>
  <sheetFormatPr defaultRowHeight="15" x14ac:dyDescent="0.25"/>
  <cols>
    <col min="1" max="1" width="19.25" style="36" customWidth="1"/>
    <col min="2" max="26" width="70" style="35" customWidth="1"/>
    <col min="27" max="16384" width="9" style="36"/>
  </cols>
  <sheetData>
    <row r="1" spans="1:3" x14ac:dyDescent="0.25">
      <c r="A1" s="34" t="s">
        <v>3</v>
      </c>
      <c r="B1" s="35" t="s">
        <v>7</v>
      </c>
    </row>
    <row r="2" spans="1:3" x14ac:dyDescent="0.25">
      <c r="A2" s="34" t="s">
        <v>4</v>
      </c>
      <c r="B2" s="35" t="s">
        <v>8</v>
      </c>
    </row>
    <row r="3" spans="1:3" ht="409.5" x14ac:dyDescent="0.25">
      <c r="A3" s="34" t="s">
        <v>73</v>
      </c>
      <c r="B3" s="37" t="s">
        <v>74</v>
      </c>
    </row>
    <row r="4" spans="1:3" x14ac:dyDescent="0.25">
      <c r="A4" s="34" t="s">
        <v>75</v>
      </c>
    </row>
    <row r="5" spans="1:3" x14ac:dyDescent="0.25">
      <c r="A5" s="34" t="s">
        <v>57</v>
      </c>
      <c r="B5" s="35" t="s">
        <v>76</v>
      </c>
      <c r="C5" s="59" t="str">
        <f>HYPERLINK("#HealthReport!B30","Retrun")</f>
        <v>Retrun</v>
      </c>
    </row>
    <row r="6" spans="1:3" x14ac:dyDescent="0.25">
      <c r="A6" s="34" t="s">
        <v>59</v>
      </c>
      <c r="B6" s="35" t="s">
        <v>76</v>
      </c>
    </row>
    <row r="7" spans="1:3" x14ac:dyDescent="0.25">
      <c r="A7" s="34" t="s">
        <v>77</v>
      </c>
      <c r="B7" s="35" t="s">
        <v>76</v>
      </c>
    </row>
    <row r="8" spans="1:3" x14ac:dyDescent="0.25">
      <c r="A8" s="34" t="s">
        <v>78</v>
      </c>
      <c r="B8" s="35" t="s">
        <v>76</v>
      </c>
    </row>
    <row r="9" spans="1:3" x14ac:dyDescent="0.25">
      <c r="A9" s="34" t="s">
        <v>79</v>
      </c>
      <c r="B9" s="35" t="s">
        <v>76</v>
      </c>
    </row>
    <row r="10" spans="1:3" x14ac:dyDescent="0.25">
      <c r="A10" s="34" t="s">
        <v>80</v>
      </c>
      <c r="B10" s="35" t="s">
        <v>81</v>
      </c>
    </row>
    <row r="11" spans="1:3" x14ac:dyDescent="0.25">
      <c r="A11" s="34" t="s">
        <v>82</v>
      </c>
      <c r="B11" s="35" t="s">
        <v>81</v>
      </c>
    </row>
    <row r="12" spans="1:3" x14ac:dyDescent="0.25">
      <c r="A12" s="34" t="s">
        <v>64</v>
      </c>
      <c r="B12" s="35" t="s">
        <v>83</v>
      </c>
    </row>
    <row r="13" spans="1:3" x14ac:dyDescent="0.25">
      <c r="A13" s="34" t="s">
        <v>84</v>
      </c>
      <c r="B13" s="37" t="s">
        <v>76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7FAC-338D-40AE-9A03-D56E1C0E6070}">
  <dimension ref="A1:Z34"/>
  <sheetViews>
    <sheetView workbookViewId="0">
      <pane xSplit="1" ySplit="2" topLeftCell="B3" activePane="bottomRight" state="frozen"/>
      <selection activeCell="B3" sqref="B3"/>
      <selection pane="topRight" activeCell="B3" sqref="B3"/>
      <selection pane="bottomLeft" activeCell="B3" sqref="B3"/>
      <selection pane="bottomRight" activeCell="B4" sqref="B4"/>
    </sheetView>
  </sheetViews>
  <sheetFormatPr defaultRowHeight="15" x14ac:dyDescent="0.25"/>
  <cols>
    <col min="1" max="1" width="19.25" style="36" customWidth="1"/>
    <col min="2" max="26" width="87.5" style="35" customWidth="1"/>
    <col min="27" max="16384" width="9" style="36"/>
  </cols>
  <sheetData>
    <row r="1" spans="1:2" ht="30" x14ac:dyDescent="0.25">
      <c r="A1" s="34" t="s">
        <v>85</v>
      </c>
      <c r="B1" s="35" t="s">
        <v>17</v>
      </c>
    </row>
    <row r="2" spans="1:2" x14ac:dyDescent="0.25">
      <c r="A2" s="34" t="s">
        <v>3</v>
      </c>
      <c r="B2" s="35" t="s">
        <v>7</v>
      </c>
    </row>
    <row r="3" spans="1:2" ht="375" x14ac:dyDescent="0.25">
      <c r="A3" s="34" t="s">
        <v>66</v>
      </c>
      <c r="B3" s="38" t="s">
        <v>86</v>
      </c>
    </row>
    <row r="4" spans="1:2" ht="409.5" x14ac:dyDescent="0.25">
      <c r="A4" s="34" t="s">
        <v>87</v>
      </c>
      <c r="B4" s="35" t="s">
        <v>88</v>
      </c>
    </row>
    <row r="5" spans="1:2" x14ac:dyDescent="0.25">
      <c r="A5" s="34" t="s">
        <v>89</v>
      </c>
      <c r="B5" s="37" t="s">
        <v>90</v>
      </c>
    </row>
    <row r="6" spans="1:2" ht="390" x14ac:dyDescent="0.25">
      <c r="A6" s="34" t="s">
        <v>91</v>
      </c>
      <c r="B6" s="35" t="s">
        <v>92</v>
      </c>
    </row>
    <row r="7" spans="1:2" ht="105" x14ac:dyDescent="0.25">
      <c r="A7" s="34" t="s">
        <v>93</v>
      </c>
      <c r="B7" s="35" t="s">
        <v>94</v>
      </c>
    </row>
    <row r="8" spans="1:2" ht="150" x14ac:dyDescent="0.25">
      <c r="A8" s="34" t="s">
        <v>95</v>
      </c>
      <c r="B8" s="37" t="s">
        <v>96</v>
      </c>
    </row>
    <row r="9" spans="1:2" ht="105" x14ac:dyDescent="0.25">
      <c r="A9" s="34" t="s">
        <v>97</v>
      </c>
      <c r="B9" s="38" t="s">
        <v>98</v>
      </c>
    </row>
    <row r="10" spans="1:2" ht="375" x14ac:dyDescent="0.25">
      <c r="A10" s="34" t="s">
        <v>99</v>
      </c>
      <c r="B10" s="37" t="s">
        <v>100</v>
      </c>
    </row>
    <row r="11" spans="1:2" ht="120" x14ac:dyDescent="0.25">
      <c r="A11" s="34" t="s">
        <v>101</v>
      </c>
      <c r="B11" s="39" t="s">
        <v>102</v>
      </c>
    </row>
    <row r="12" spans="1:2" ht="225" x14ac:dyDescent="0.25">
      <c r="A12" s="34" t="s">
        <v>103</v>
      </c>
      <c r="B12" s="35" t="s">
        <v>104</v>
      </c>
    </row>
    <row r="13" spans="1:2" x14ac:dyDescent="0.25">
      <c r="A13" s="34" t="s">
        <v>105</v>
      </c>
      <c r="B13" s="35" t="s">
        <v>76</v>
      </c>
    </row>
    <row r="14" spans="1:2" x14ac:dyDescent="0.25">
      <c r="A14" s="34" t="s">
        <v>106</v>
      </c>
      <c r="B14" s="35" t="s">
        <v>107</v>
      </c>
    </row>
    <row r="15" spans="1:2" x14ac:dyDescent="0.25">
      <c r="A15" s="34" t="s">
        <v>108</v>
      </c>
      <c r="B15" s="35" t="s">
        <v>76</v>
      </c>
    </row>
    <row r="16" spans="1:2" ht="409.5" x14ac:dyDescent="0.25">
      <c r="A16" s="34" t="s">
        <v>109</v>
      </c>
      <c r="B16" s="35" t="s">
        <v>110</v>
      </c>
    </row>
    <row r="17" spans="1:2" x14ac:dyDescent="0.25">
      <c r="A17" s="34" t="s">
        <v>111</v>
      </c>
      <c r="B17" s="35" t="s">
        <v>76</v>
      </c>
    </row>
    <row r="18" spans="1:2" ht="120" x14ac:dyDescent="0.25">
      <c r="A18" s="34" t="s">
        <v>112</v>
      </c>
      <c r="B18" s="35" t="s">
        <v>113</v>
      </c>
    </row>
    <row r="19" spans="1:2" ht="60" x14ac:dyDescent="0.25">
      <c r="A19" s="34" t="s">
        <v>114</v>
      </c>
      <c r="B19" s="35" t="s">
        <v>115</v>
      </c>
    </row>
    <row r="20" spans="1:2" ht="165" x14ac:dyDescent="0.25">
      <c r="A20" s="34" t="s">
        <v>116</v>
      </c>
      <c r="B20" s="35" t="s">
        <v>117</v>
      </c>
    </row>
    <row r="21" spans="1:2" x14ac:dyDescent="0.25">
      <c r="A21" s="34" t="s">
        <v>118</v>
      </c>
      <c r="B21" s="37" t="s">
        <v>119</v>
      </c>
    </row>
    <row r="22" spans="1:2" x14ac:dyDescent="0.25">
      <c r="A22" s="34" t="s">
        <v>120</v>
      </c>
      <c r="B22" s="39" t="s">
        <v>76</v>
      </c>
    </row>
    <row r="23" spans="1:2" ht="60" x14ac:dyDescent="0.25">
      <c r="A23" s="34" t="s">
        <v>121</v>
      </c>
      <c r="B23" s="39" t="s">
        <v>122</v>
      </c>
    </row>
    <row r="24" spans="1:2" x14ac:dyDescent="0.25">
      <c r="A24" s="34" t="s">
        <v>123</v>
      </c>
      <c r="B24" s="35" t="s">
        <v>76</v>
      </c>
    </row>
    <row r="25" spans="1:2" ht="60" x14ac:dyDescent="0.25">
      <c r="A25" s="34" t="s">
        <v>124</v>
      </c>
      <c r="B25" s="39" t="s">
        <v>125</v>
      </c>
    </row>
    <row r="26" spans="1:2" ht="45" x14ac:dyDescent="0.25">
      <c r="A26" s="34" t="s">
        <v>126</v>
      </c>
      <c r="B26" s="35" t="s">
        <v>127</v>
      </c>
    </row>
    <row r="27" spans="1:2" ht="60" x14ac:dyDescent="0.25">
      <c r="A27" s="34" t="s">
        <v>128</v>
      </c>
      <c r="B27" s="35" t="s">
        <v>129</v>
      </c>
    </row>
    <row r="28" spans="1:2" ht="409.5" x14ac:dyDescent="0.25">
      <c r="A28" s="34" t="s">
        <v>130</v>
      </c>
      <c r="B28" s="35" t="s">
        <v>131</v>
      </c>
    </row>
    <row r="29" spans="1:2" x14ac:dyDescent="0.25">
      <c r="A29" s="34" t="s">
        <v>132</v>
      </c>
      <c r="B29" s="35" t="s">
        <v>76</v>
      </c>
    </row>
    <row r="30" spans="1:2" ht="180" x14ac:dyDescent="0.25">
      <c r="A30" s="34" t="s">
        <v>133</v>
      </c>
      <c r="B30" s="35" t="s">
        <v>134</v>
      </c>
    </row>
    <row r="31" spans="1:2" ht="30" x14ac:dyDescent="0.25">
      <c r="A31" s="34" t="s">
        <v>135</v>
      </c>
      <c r="B31" s="35" t="s">
        <v>76</v>
      </c>
    </row>
    <row r="32" spans="1:2" ht="30" x14ac:dyDescent="0.25">
      <c r="A32" s="34" t="s">
        <v>136</v>
      </c>
      <c r="B32" s="35" t="s">
        <v>76</v>
      </c>
    </row>
    <row r="33" spans="1:1" x14ac:dyDescent="0.25">
      <c r="A33" s="34" t="s">
        <v>137</v>
      </c>
    </row>
    <row r="34" spans="1:1" x14ac:dyDescent="0.25">
      <c r="A34" s="34" t="s">
        <v>137</v>
      </c>
    </row>
  </sheetData>
  <phoneticPr fontId="1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00D4997A-F5D7-47B8-8021-08C076C5E1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E7F3D6-785F-49FE-8501-BF769B99AE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1BB4A4-C009-44B7-9F89-7FA7A7BF749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TM16400501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HealthReport</vt:lpstr>
      <vt:lpstr>OS</vt:lpstr>
      <vt:lpstr>DB</vt:lpstr>
      <vt:lpstr>ColumnTitle1</vt:lpstr>
      <vt:lpstr>HealthReport!Print_Titles</vt:lpstr>
      <vt:lpstr>RowTitleRegion1..C7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2022-11-10T06:32:34Z</dcterms:created>
  <dcterms:modified xsi:type="dcterms:W3CDTF">2025-05-29T03:29:57Z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