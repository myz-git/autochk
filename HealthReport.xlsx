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/>
  <xr:revisionPtr revIDLastSave="0" documentId="13_ncr:1_{5A01C3E3-2861-4BC3-9046-B9D16283A8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lthReport" sheetId="1" r:id="rId1"/>
    <sheet name="OS" sheetId="5" r:id="rId2"/>
    <sheet name="DB" sheetId="6" r:id="rId3"/>
    <sheet name="INST" sheetId="7" r:id="rId4"/>
  </sheets>
  <definedNames>
    <definedName name="ChecklistTotal">SUM(#REF!)</definedName>
    <definedName name="ColumnTitle1">HealthReport!$B$29:$L$41</definedName>
    <definedName name="ColumnTitle2">#REF!</definedName>
    <definedName name="ColumnTitle3">#REF!</definedName>
    <definedName name="_xlnm.Print_Titles" localSheetId="0">HealthReport!$28:$28</definedName>
    <definedName name="RowTitleRegion1..C7">HealthReport!$C$4</definedName>
    <definedName name="SchoolYear">YEAR(TODAY())&amp;" - "&amp;YEAR(TODAY())+1</definedName>
    <definedName name="SumItemsBought">COUNTIF(HealthReport!$L$29:$L$41,"&gt;0")</definedName>
    <definedName name="SumItemsToBuy">COUNTIF(HealthReport!$H$29:$H$41,"&gt;0")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L29" i="1" l="1"/>
  <c r="L31" i="1"/>
  <c r="L32" i="1"/>
  <c r="L30" i="1"/>
  <c r="E7" i="5"/>
  <c r="L33" i="1"/>
  <c r="L34" i="1"/>
  <c r="L35" i="1"/>
  <c r="L36" i="1"/>
  <c r="L37" i="1"/>
  <c r="L38" i="1"/>
  <c r="L39" i="1"/>
  <c r="L40" i="1"/>
  <c r="L41" i="1"/>
  <c r="G29" i="1" l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L28" i="1"/>
  <c r="H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29" authorId="0" shapeId="0" xr:uid="{9E41461E-B5F3-45AE-9099-A170B522429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查看主机负载情况,id为空闲时间百分比,值越高负载越小</t>
        </r>
      </text>
    </comment>
    <comment ref="D30" authorId="0" shapeId="0" xr:uid="{CE8FA50E-BD3B-4973-83DB-480955872E6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查看内存是否频繁使用换页SWAP</t>
        </r>
      </text>
    </comment>
    <comment ref="D31" authorId="0" shapeId="0" xr:uid="{BD3948E2-8A4C-436C-A251-46605C2AC18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查看主机IO及磁盘IO负载情况, 当有磁盘%util 超过85%时说明该磁盘非常繁忙, 需要进一步分析或优化IO负载</t>
        </r>
      </text>
    </comment>
    <comment ref="D32" authorId="0" shapeId="0" xr:uid="{219BEDE6-F20F-41C0-8CEA-3DD317C4798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查看文件系统使用率,文件系统使用率小于80%为正常</t>
        </r>
      </text>
    </comment>
    <comment ref="D33" authorId="0" shapeId="0" xr:uid="{6038BBA1-4371-4944-962E-EF8DAAF1E36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查看文件系统索引资源节点使用率小于80%为正常</t>
        </r>
      </text>
    </comment>
    <comment ref="D34" authorId="0" shapeId="0" xr:uid="{72672DE2-604C-4E12-8D14-22FBCC7B2E8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查看主机透明大页配置情况,为提升系统稳定性建议关闭透明在大页</t>
        </r>
      </text>
    </comment>
    <comment ref="D35" authorId="0" shapeId="0" xr:uid="{021971E8-0EF3-4147-A1FE-688FB0860E9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查看主机内核参数配置情况</t>
        </r>
      </text>
    </comment>
    <comment ref="D36" authorId="0" shapeId="0" xr:uid="{388B4670-C978-444C-9E73-9808F46CB80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查看用户主机资源限制配置情况</t>
        </r>
      </text>
    </comment>
    <comment ref="D37" authorId="0" shapeId="0" xr:uid="{C950E487-9BBE-47CD-837E-BFC7232D63D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查看主机NUMA状态,NUMA特性会对数据库服务器稳定运行带来非常大的影响,为避免系统性能隐患,建议关闭NUMA</t>
        </r>
      </text>
    </comment>
    <comment ref="D38" authorId="0" shapeId="0" xr:uid="{CAEAB304-D48F-42EF-854C-6ADD0CDE756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数据库状态检查主要包括：数据库启动状态,Dataguard保护模式,保护级别,数据库角色等</t>
        </r>
      </text>
    </comment>
    <comment ref="D39" authorId="0" shapeId="0" xr:uid="{25822FDF-1644-4F43-898F-A6C8A539805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针对表空间使用率超过80%且剩余空间不足8G,进行预警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<sst xmlns="http://schemas.openxmlformats.org/spreadsheetml/2006/main" count="268" uniqueCount="248">
  <si>
    <r>
      <rPr>
        <b/>
        <sz val="36"/>
        <color theme="1"/>
        <rFont val="等线"/>
        <family val="2"/>
        <charset val="134"/>
      </rPr>
      <t>健康检查报告</t>
    </r>
    <phoneticPr fontId="14" type="noConversion"/>
  </si>
  <si>
    <t>Server Info</t>
    <phoneticPr fontId="14" type="noConversion"/>
  </si>
  <si>
    <t>DataBase Info</t>
    <phoneticPr fontId="14" type="noConversion"/>
  </si>
  <si>
    <t>主机名</t>
  </si>
  <si>
    <t>内存</t>
  </si>
  <si>
    <t>APC2DB</t>
  </si>
  <si>
    <t>数据库版本</t>
  </si>
  <si>
    <t>数据库架构</t>
  </si>
  <si>
    <t>SINGLE INSTANCE</t>
  </si>
  <si>
    <t>主备库角色</t>
  </si>
  <si>
    <t>ARCHIVELOG</t>
  </si>
  <si>
    <t>1513.200  GB</t>
  </si>
  <si>
    <t>数据库字符集</t>
  </si>
  <si>
    <t>AMERICAN_AMERICA.US7ASCII</t>
  </si>
  <si>
    <t>数据库名</t>
    <phoneticPr fontId="14" type="noConversion"/>
  </si>
  <si>
    <t>PRIMARY,MAXIMUM PERFORMANCE</t>
    <phoneticPr fontId="14" type="noConversion"/>
  </si>
  <si>
    <t>Issue summary</t>
    <phoneticPr fontId="14" type="noConversion"/>
  </si>
  <si>
    <t>其他项检查</t>
    <phoneticPr fontId="14" type="noConversion"/>
  </si>
  <si>
    <t>重要</t>
    <phoneticPr fontId="14" type="noConversion"/>
  </si>
  <si>
    <t>轻微</t>
    <phoneticPr fontId="14" type="noConversion"/>
  </si>
  <si>
    <t>主机系统分析</t>
    <phoneticPr fontId="14" type="noConversion"/>
  </si>
  <si>
    <t>Issue list</t>
    <phoneticPr fontId="14" type="noConversion"/>
  </si>
  <si>
    <t>No.</t>
    <phoneticPr fontId="14" type="noConversion"/>
  </si>
  <si>
    <t>问题描述及建议</t>
    <phoneticPr fontId="14" type="noConversion"/>
  </si>
  <si>
    <t>问题类别</t>
    <phoneticPr fontId="14" type="noConversion"/>
  </si>
  <si>
    <t>主机系统分析</t>
  </si>
  <si>
    <t>数据库实例分析</t>
  </si>
  <si>
    <t>其他项检查</t>
  </si>
  <si>
    <t>数据库安全检查</t>
  </si>
  <si>
    <t>数据库备份检查</t>
  </si>
  <si>
    <t>检查项</t>
    <phoneticPr fontId="14" type="noConversion"/>
  </si>
  <si>
    <t>结果</t>
    <phoneticPr fontId="14" type="noConversion"/>
  </si>
  <si>
    <t>内存使用检查</t>
    <phoneticPr fontId="14" type="noConversion"/>
  </si>
  <si>
    <t>文件系统使用率</t>
    <phoneticPr fontId="14" type="noConversion"/>
  </si>
  <si>
    <t>索引资源节点使用率</t>
    <phoneticPr fontId="14" type="noConversion"/>
  </si>
  <si>
    <t>主机透明大页检查</t>
    <phoneticPr fontId="14" type="noConversion"/>
  </si>
  <si>
    <t>内核参数</t>
    <phoneticPr fontId="14" type="noConversion"/>
  </si>
  <si>
    <t>资源限制</t>
    <phoneticPr fontId="14" type="noConversion"/>
  </si>
  <si>
    <t>数据库状态检查</t>
    <phoneticPr fontId="14" type="noConversion"/>
  </si>
  <si>
    <t>表空间使用率</t>
    <phoneticPr fontId="14" type="noConversion"/>
  </si>
  <si>
    <t>影响</t>
    <phoneticPr fontId="14" type="noConversion"/>
  </si>
  <si>
    <t>CPU负载检查</t>
    <phoneticPr fontId="14" type="noConversion"/>
  </si>
  <si>
    <t>磁盘IO负载检查</t>
    <phoneticPr fontId="14" type="noConversion"/>
  </si>
  <si>
    <t>NUMA使用检查</t>
    <phoneticPr fontId="14" type="noConversion"/>
  </si>
  <si>
    <t>普通</t>
    <phoneticPr fontId="14" type="noConversion"/>
  </si>
  <si>
    <t xml:space="preserve">       Health  Report</t>
    <phoneticPr fontId="14" type="noConversion"/>
  </si>
  <si>
    <t>主机名</t>
    <phoneticPr fontId="14" type="noConversion"/>
  </si>
  <si>
    <t>内存使用</t>
    <phoneticPr fontId="14" type="noConversion"/>
  </si>
  <si>
    <t>IP地址</t>
    <phoneticPr fontId="14" type="noConversion"/>
  </si>
  <si>
    <t>系统日志</t>
    <phoneticPr fontId="14" type="noConversion"/>
  </si>
  <si>
    <t>数据库架构</t>
    <phoneticPr fontId="14" type="noConversion"/>
  </si>
  <si>
    <t>系统版本</t>
    <phoneticPr fontId="14" type="noConversion"/>
  </si>
  <si>
    <t>内存</t>
    <phoneticPr fontId="14" type="noConversion"/>
  </si>
  <si>
    <t>交换分区</t>
    <phoneticPr fontId="14" type="noConversion"/>
  </si>
  <si>
    <t>ULIMIT限制</t>
    <phoneticPr fontId="14" type="noConversion"/>
  </si>
  <si>
    <t>索引资源使用率</t>
    <phoneticPr fontId="14" type="noConversion"/>
  </si>
  <si>
    <t>透明大页</t>
    <phoneticPr fontId="14" type="noConversion"/>
  </si>
  <si>
    <t>磁盘IO负载</t>
    <phoneticPr fontId="14" type="noConversion"/>
  </si>
  <si>
    <t>系统大页</t>
    <phoneticPr fontId="14" type="noConversion"/>
  </si>
  <si>
    <t>NUMA使用</t>
    <phoneticPr fontId="14" type="noConversion"/>
  </si>
  <si>
    <t>时钟同步</t>
    <phoneticPr fontId="14" type="noConversion"/>
  </si>
  <si>
    <t>时区</t>
    <phoneticPr fontId="14" type="noConversion"/>
  </si>
  <si>
    <t>数据库名称</t>
    <phoneticPr fontId="14" type="noConversion"/>
  </si>
  <si>
    <t>数据库日志检查</t>
    <phoneticPr fontId="14" type="noConversion"/>
  </si>
  <si>
    <t>并行度&gt;1的表</t>
    <phoneticPr fontId="14" type="noConversion"/>
  </si>
  <si>
    <t>DBA权限用户检查</t>
    <phoneticPr fontId="14" type="noConversion"/>
  </si>
  <si>
    <t>SYSDBA权限用户检查</t>
    <phoneticPr fontId="14" type="noConversion"/>
  </si>
  <si>
    <t>数据库审计空间检查</t>
    <phoneticPr fontId="14" type="noConversion"/>
  </si>
  <si>
    <t>数据库审计对象检查</t>
    <phoneticPr fontId="14" type="noConversion"/>
  </si>
  <si>
    <t>SCNHealthCheck检查</t>
    <phoneticPr fontId="14" type="noConversion"/>
  </si>
  <si>
    <t>并行度&gt;1的索引</t>
    <phoneticPr fontId="14" type="noConversion"/>
  </si>
  <si>
    <t>数据库版本</t>
    <phoneticPr fontId="14" type="noConversion"/>
  </si>
  <si>
    <t>是否开启归档</t>
    <phoneticPr fontId="14" type="noConversion"/>
  </si>
  <si>
    <t>是否开启闪回</t>
    <phoneticPr fontId="14" type="noConversion"/>
  </si>
  <si>
    <t>数据文件数量</t>
    <phoneticPr fontId="14" type="noConversion"/>
  </si>
  <si>
    <t>表数量</t>
    <phoneticPr fontId="14" type="noConversion"/>
  </si>
  <si>
    <t>主备库角色</t>
    <phoneticPr fontId="14" type="noConversion"/>
  </si>
  <si>
    <t>数据文件状态检查</t>
    <phoneticPr fontId="14" type="noConversion"/>
  </si>
  <si>
    <t>用户大小</t>
    <phoneticPr fontId="14" type="noConversion"/>
  </si>
  <si>
    <t>用户状态</t>
    <phoneticPr fontId="14" type="noConversion"/>
  </si>
  <si>
    <t>用户表数量</t>
    <phoneticPr fontId="14" type="noConversion"/>
  </si>
  <si>
    <t>REDO文件检查</t>
    <phoneticPr fontId="14" type="noConversion"/>
  </si>
  <si>
    <t>RMAN备份检查</t>
    <phoneticPr fontId="14" type="noConversion"/>
  </si>
  <si>
    <t>DG同步延迟检查</t>
    <phoneticPr fontId="14" type="noConversion"/>
  </si>
  <si>
    <t>DG同步报错检查</t>
    <phoneticPr fontId="14" type="noConversion"/>
  </si>
  <si>
    <t>SEQUENCE设置检查</t>
    <phoneticPr fontId="14" type="noConversion"/>
  </si>
  <si>
    <t>SEQUENCE使用检查</t>
    <phoneticPr fontId="14" type="noConversion"/>
  </si>
  <si>
    <t>数据库状态</t>
    <phoneticPr fontId="14" type="noConversion"/>
  </si>
  <si>
    <t>数据库组件</t>
    <phoneticPr fontId="14" type="noConversion"/>
  </si>
  <si>
    <t>功能特性</t>
    <phoneticPr fontId="14" type="noConversion"/>
  </si>
  <si>
    <t>字符集</t>
    <phoneticPr fontId="14" type="noConversion"/>
  </si>
  <si>
    <t>数据库参数</t>
    <phoneticPr fontId="14" type="noConversion"/>
  </si>
  <si>
    <t>游标&gt;300M检查</t>
    <phoneticPr fontId="14" type="noConversion"/>
  </si>
  <si>
    <t>用户临期检查</t>
    <phoneticPr fontId="14" type="noConversion"/>
  </si>
  <si>
    <t>PROFILE密码函数设置</t>
    <phoneticPr fontId="14" type="noConversion"/>
  </si>
  <si>
    <t>无效对象检查</t>
    <phoneticPr fontId="14" type="noConversion"/>
  </si>
  <si>
    <t>索引失效检查</t>
    <phoneticPr fontId="14" type="noConversion"/>
  </si>
  <si>
    <t>控制文件冗余检查</t>
    <phoneticPr fontId="14" type="noConversion"/>
  </si>
  <si>
    <t>业务使用系统表空间检查</t>
    <phoneticPr fontId="14" type="noConversion"/>
  </si>
  <si>
    <t>错误口令登录锁定检查</t>
    <phoneticPr fontId="14" type="noConversion"/>
  </si>
  <si>
    <t>病毒勒索攻击隐患检查</t>
    <phoneticPr fontId="14" type="noConversion"/>
  </si>
  <si>
    <t>实例名</t>
    <phoneticPr fontId="14" type="noConversion"/>
  </si>
  <si>
    <t>监听检查</t>
    <phoneticPr fontId="14" type="noConversion"/>
  </si>
  <si>
    <t>数据库负载</t>
    <phoneticPr fontId="14" type="noConversion"/>
  </si>
  <si>
    <t>数据库补丁</t>
    <phoneticPr fontId="14" type="noConversion"/>
  </si>
  <si>
    <t>参数文件</t>
    <phoneticPr fontId="14" type="noConversion"/>
  </si>
  <si>
    <t>归档切换检查</t>
    <phoneticPr fontId="14" type="noConversion"/>
  </si>
  <si>
    <t>数据库运行效率</t>
    <phoneticPr fontId="14" type="noConversion"/>
  </si>
  <si>
    <t>CPU使用</t>
    <phoneticPr fontId="14" type="noConversion"/>
  </si>
  <si>
    <t>节点</t>
    <phoneticPr fontId="14" type="noConversion"/>
  </si>
  <si>
    <t>Dbname</t>
  </si>
  <si>
    <t>Dbmaa</t>
  </si>
  <si>
    <t>Dbver</t>
  </si>
  <si>
    <t>Dbstatus</t>
  </si>
  <si>
    <t>Dblang</t>
  </si>
  <si>
    <t>Logmode</t>
  </si>
  <si>
    <t>Dbtblcount</t>
  </si>
  <si>
    <t>Dbrole</t>
  </si>
  <si>
    <t>Dbtbsusage</t>
  </si>
  <si>
    <t>Tmpfile_size</t>
  </si>
  <si>
    <t>Dbcontrolfile</t>
  </si>
  <si>
    <t>User_info</t>
  </si>
  <si>
    <t>Tab_info</t>
  </si>
  <si>
    <t>Dbresource</t>
  </si>
  <si>
    <t>Db_seq_usage</t>
  </si>
  <si>
    <t>Dboption</t>
  </si>
  <si>
    <t>Dbfeatures</t>
  </si>
  <si>
    <t>Db_expir_user</t>
  </si>
  <si>
    <t>Dbdbapriv</t>
  </si>
  <si>
    <t>Dbsysdba</t>
  </si>
  <si>
    <t>Dbauditsegment</t>
  </si>
  <si>
    <t>Dbauditcont</t>
  </si>
  <si>
    <t>Db_nosys_in_system</t>
  </si>
  <si>
    <t>Dbvirscheck</t>
  </si>
  <si>
    <t>Dbscnhealthcheck</t>
  </si>
  <si>
    <t>Dbrmancheck</t>
  </si>
  <si>
    <t>Dbdglagcheck</t>
  </si>
  <si>
    <t>Dbdgerrcheck</t>
  </si>
  <si>
    <t>NodeID</t>
  </si>
  <si>
    <t>Hostname</t>
  </si>
  <si>
    <t>Ipaddr</t>
  </si>
  <si>
    <t>Os</t>
  </si>
  <si>
    <t>Relver</t>
  </si>
  <si>
    <t>Cores</t>
  </si>
  <si>
    <t>Cpumhz</t>
  </si>
  <si>
    <t>Memtotal</t>
  </si>
  <si>
    <t>Swaptotal</t>
  </si>
  <si>
    <t>Osparameter</t>
  </si>
  <si>
    <t>Ulimit</t>
  </si>
  <si>
    <t>Tmzone</t>
    <phoneticPr fontId="14" type="noConversion"/>
  </si>
  <si>
    <t>Oslog</t>
    <phoneticPr fontId="14" type="noConversion"/>
  </si>
  <si>
    <t>PSU&amp;RU</t>
    <phoneticPr fontId="14" type="noConversion"/>
  </si>
  <si>
    <t>Instname</t>
  </si>
  <si>
    <t>Loadprofile</t>
  </si>
  <si>
    <t>Topevent</t>
  </si>
  <si>
    <t>Dbpsu</t>
  </si>
  <si>
    <t>Dbpatch</t>
  </si>
  <si>
    <t>Dblsnrinfo</t>
  </si>
  <si>
    <t>Dbparameter</t>
  </si>
  <si>
    <t>Dbredoswitch</t>
  </si>
  <si>
    <t>Dberrlog</t>
  </si>
  <si>
    <t>Top等待</t>
    <phoneticPr fontId="14" type="noConversion"/>
  </si>
  <si>
    <t>Top SQL(耗时)</t>
    <phoneticPr fontId="14" type="noConversion"/>
  </si>
  <si>
    <t>****</t>
    <phoneticPr fontId="14" type="noConversion"/>
  </si>
  <si>
    <t>CPU Info</t>
    <phoneticPr fontId="14" type="noConversion"/>
  </si>
  <si>
    <t>CPU 主频</t>
    <phoneticPr fontId="14" type="noConversion"/>
  </si>
  <si>
    <t>Filesystem</t>
    <phoneticPr fontId="14" type="noConversion"/>
  </si>
  <si>
    <t>Inodeusage</t>
    <phoneticPr fontId="14" type="noConversion"/>
  </si>
  <si>
    <t>Cpustat</t>
    <phoneticPr fontId="14" type="noConversion"/>
  </si>
  <si>
    <t>Selinux状态</t>
    <phoneticPr fontId="14" type="noConversion"/>
  </si>
  <si>
    <t>Selinux</t>
    <phoneticPr fontId="14" type="noConversion"/>
  </si>
  <si>
    <t>防火墙状态</t>
    <phoneticPr fontId="14" type="noConversion"/>
  </si>
  <si>
    <t>Firewall</t>
    <phoneticPr fontId="14" type="noConversion"/>
  </si>
  <si>
    <t>NSSwitch配置检查</t>
    <phoneticPr fontId="14" type="noConversion"/>
  </si>
  <si>
    <t>Nsswitch</t>
    <phoneticPr fontId="14" type="noConversion"/>
  </si>
  <si>
    <t>Lo_mtu</t>
    <phoneticPr fontId="14" type="noConversion"/>
  </si>
  <si>
    <t>Machine_platform</t>
    <phoneticPr fontId="14" type="noConversion"/>
  </si>
  <si>
    <t>CPU_PERF_MODE</t>
    <phoneticPr fontId="14" type="noConversion"/>
  </si>
  <si>
    <t>NOZEROCONF</t>
    <phoneticPr fontId="14" type="noConversion"/>
  </si>
  <si>
    <t>Memstat</t>
    <phoneticPr fontId="14" type="noConversion"/>
  </si>
  <si>
    <t>Iostat</t>
    <phoneticPr fontId="14" type="noConversion"/>
  </si>
  <si>
    <t>Thpstat</t>
    <phoneticPr fontId="14" type="noConversion"/>
  </si>
  <si>
    <t>Hugpage</t>
    <phoneticPr fontId="14" type="noConversion"/>
  </si>
  <si>
    <t>Numa</t>
    <phoneticPr fontId="14" type="noConversion"/>
  </si>
  <si>
    <t>Ntp</t>
    <phoneticPr fontId="14" type="noConversion"/>
  </si>
  <si>
    <t>lo网卡MTU检查</t>
    <phoneticPr fontId="14" type="noConversion"/>
  </si>
  <si>
    <t>CPU性能模式检查</t>
    <phoneticPr fontId="14" type="noConversion"/>
  </si>
  <si>
    <t>ZEROCONF路由检查</t>
    <phoneticPr fontId="14" type="noConversion"/>
  </si>
  <si>
    <t>安全漏洞RPM包检查</t>
    <phoneticPr fontId="14" type="noConversion"/>
  </si>
  <si>
    <t>RPM_PACKAGES</t>
    <phoneticPr fontId="14" type="noConversion"/>
  </si>
  <si>
    <t>myzdb100</t>
  </si>
  <si>
    <t>10.0.2.15
1.1.1.100</t>
  </si>
  <si>
    <t>Linux x86_64</t>
  </si>
  <si>
    <t>Linux.Red Hat Enterprise Linux release 8.8 (Ootpa)</t>
  </si>
  <si>
    <t>12th Gen Intel(R) Core(TM) i5-12400F 4</t>
    <phoneticPr fontId="14" type="noConversion"/>
  </si>
  <si>
    <t>7 GB</t>
  </si>
  <si>
    <t>主机平台</t>
    <phoneticPr fontId="14" type="noConversion"/>
  </si>
  <si>
    <t>操作系统</t>
    <phoneticPr fontId="14" type="noConversion"/>
  </si>
  <si>
    <t>Physical Server</t>
    <phoneticPr fontId="14" type="noConversion"/>
  </si>
  <si>
    <t>Oracle Database 19c Enterprise Edition Version 19.11.0.0.0</t>
    <phoneticPr fontId="14" type="noConversion"/>
  </si>
  <si>
    <t>资源使用检查</t>
    <phoneticPr fontId="14" type="noConversion"/>
  </si>
  <si>
    <t>Dbcursize</t>
  </si>
  <si>
    <t>Dbf_size</t>
  </si>
  <si>
    <t>Dbf_cnt</t>
  </si>
  <si>
    <t>Dbf_stat</t>
  </si>
  <si>
    <t>数据库当前使用大小</t>
    <phoneticPr fontId="14" type="noConversion"/>
  </si>
  <si>
    <t>数据文件总大小</t>
    <phoneticPr fontId="14" type="noConversion"/>
  </si>
  <si>
    <t>临时表空间文件大小</t>
    <phoneticPr fontId="14" type="noConversion"/>
  </si>
  <si>
    <t>数据库大小
(当前已使用)</t>
    <phoneticPr fontId="14" type="noConversion"/>
  </si>
  <si>
    <t>User_size</t>
    <phoneticPr fontId="14" type="noConversion"/>
  </si>
  <si>
    <t>TAB_PARALLEL</t>
    <phoneticPr fontId="14" type="noConversion"/>
  </si>
  <si>
    <t>INVALID_OBJ</t>
    <phoneticPr fontId="14" type="noConversion"/>
  </si>
  <si>
    <t>INVALID_INX</t>
    <phoneticPr fontId="14" type="noConversion"/>
  </si>
  <si>
    <t>INX_PARALLEL</t>
    <phoneticPr fontId="14" type="noConversion"/>
  </si>
  <si>
    <t>Dbsequence</t>
    <phoneticPr fontId="14" type="noConversion"/>
  </si>
  <si>
    <t>Db_password_verif</t>
    <phoneticPr fontId="14" type="noConversion"/>
  </si>
  <si>
    <t>Crs_stat</t>
    <phoneticPr fontId="14" type="noConversion"/>
  </si>
  <si>
    <t>集群资源状态</t>
    <phoneticPr fontId="14" type="noConversion"/>
  </si>
  <si>
    <t>OCR状态</t>
    <phoneticPr fontId="14" type="noConversion"/>
  </si>
  <si>
    <t>OCR备份检查</t>
    <phoneticPr fontId="14" type="noConversion"/>
  </si>
  <si>
    <t>ASM磁盘组使用率</t>
    <phoneticPr fontId="14" type="noConversion"/>
  </si>
  <si>
    <t>ASM磁盘偏移检查</t>
    <phoneticPr fontId="14" type="noConversion"/>
  </si>
  <si>
    <t>Asm_offset</t>
    <phoneticPr fontId="14" type="noConversion"/>
  </si>
  <si>
    <t>Asm_usage</t>
    <phoneticPr fontId="14" type="noConversion"/>
  </si>
  <si>
    <t>Ocr_bak_check</t>
    <phoneticPr fontId="14" type="noConversion"/>
  </si>
  <si>
    <t>Ocr_info</t>
    <phoneticPr fontId="14" type="noConversion"/>
  </si>
  <si>
    <t>Crs_stat2</t>
    <phoneticPr fontId="14" type="noConversion"/>
  </si>
  <si>
    <t>集群资源状态检查</t>
    <phoneticPr fontId="14" type="noConversion"/>
  </si>
  <si>
    <t>数据库集群</t>
    <phoneticPr fontId="14" type="noConversion"/>
  </si>
  <si>
    <t>DataGuard</t>
    <phoneticPr fontId="14" type="noConversion"/>
  </si>
  <si>
    <t>数据库备份</t>
    <phoneticPr fontId="14" type="noConversion"/>
  </si>
  <si>
    <t>数据库安全</t>
    <phoneticPr fontId="14" type="noConversion"/>
  </si>
  <si>
    <t>主机系统</t>
    <phoneticPr fontId="14" type="noConversion"/>
  </si>
  <si>
    <t>数据库分析</t>
    <phoneticPr fontId="14" type="noConversion"/>
  </si>
  <si>
    <t>软件使用</t>
    <phoneticPr fontId="14" type="noConversion"/>
  </si>
  <si>
    <t>实例分析</t>
    <phoneticPr fontId="14" type="noConversion"/>
  </si>
  <si>
    <t>数据库性能</t>
    <phoneticPr fontId="14" type="noConversion"/>
  </si>
  <si>
    <t>Cursor_share_mem</t>
    <phoneticPr fontId="14" type="noConversion"/>
  </si>
  <si>
    <t>Flashback</t>
    <phoneticPr fontId="14" type="noConversion"/>
  </si>
  <si>
    <t>Dbredocheck</t>
    <phoneticPr fontId="14" type="noConversion"/>
  </si>
  <si>
    <t>闪回区使用检查</t>
    <phoneticPr fontId="14" type="noConversion"/>
  </si>
  <si>
    <t>闪回区使用DETAIL</t>
    <phoneticPr fontId="14" type="noConversion"/>
  </si>
  <si>
    <t>Recovery_usage</t>
    <phoneticPr fontId="14" type="noConversion"/>
  </si>
  <si>
    <t>Recovery_detail</t>
    <phoneticPr fontId="14" type="noConversion"/>
  </si>
  <si>
    <t>Userfailedlogin</t>
    <phoneticPr fontId="14" type="noConversion"/>
  </si>
  <si>
    <t>Db_parameter_file</t>
    <phoneticPr fontId="14" type="noConversion"/>
  </si>
  <si>
    <t>Instefficiency</t>
    <phoneticPr fontId="14" type="noConversion"/>
  </si>
  <si>
    <t>Topsql_by_ela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</si>
</sst>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39" x14ac:knownFonts="1">
    <font>
      <sz val="11"/>
      <color theme="3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2"/>
      <color theme="3"/>
      <name val="Corbel"/>
      <family val="2"/>
      <scheme val="minor"/>
    </font>
    <font>
      <sz val="20"/>
      <color theme="1"/>
      <name val="Impact"/>
      <family val="2"/>
      <scheme val="major"/>
    </font>
    <font>
      <sz val="11"/>
      <color theme="3"/>
      <name val="Corbel"/>
      <family val="2"/>
      <scheme val="minor"/>
    </font>
    <font>
      <sz val="11"/>
      <color theme="0"/>
      <name val="Corbel"/>
      <family val="2"/>
      <scheme val="minor"/>
    </font>
    <font>
      <sz val="32"/>
      <color theme="1"/>
      <name val="Impact"/>
      <family val="2"/>
      <scheme val="major"/>
    </font>
    <font>
      <sz val="12"/>
      <color theme="1"/>
      <name val="Corbel"/>
      <family val="2"/>
      <scheme val="minor"/>
    </font>
    <font>
      <sz val="11"/>
      <name val="Corbel"/>
      <family val="2"/>
      <scheme val="minor"/>
    </font>
    <font>
      <sz val="32"/>
      <color theme="2" tint="-0.499984740745262"/>
      <name val="Impact"/>
      <family val="2"/>
      <scheme val="major"/>
    </font>
    <font>
      <b/>
      <sz val="18"/>
      <color theme="2" tint="-0.499984740745262"/>
      <name val="Corbel"/>
      <family val="2"/>
      <scheme val="minor"/>
    </font>
    <font>
      <b/>
      <sz val="12"/>
      <color theme="1"/>
      <name val="Corbel"/>
      <family val="2"/>
      <scheme val="minor"/>
    </font>
    <font>
      <sz val="9"/>
      <name val="宋体"/>
      <family val="3"/>
      <charset val="134"/>
      <scheme val="minor"/>
    </font>
    <font>
      <b/>
      <sz val="36"/>
      <color theme="1"/>
      <name val="Impact"/>
      <family val="2"/>
    </font>
    <font>
      <b/>
      <sz val="36"/>
      <color theme="1"/>
      <name val="等线"/>
      <family val="2"/>
      <charset val="134"/>
    </font>
    <font>
      <sz val="32"/>
      <color theme="2" tint="-0.499984740745262"/>
      <name val="Impact"/>
      <family val="2"/>
    </font>
    <font>
      <sz val="11"/>
      <color theme="3"/>
      <name val="宋体"/>
      <family val="2"/>
      <charset val="134"/>
    </font>
    <font>
      <b/>
      <sz val="12"/>
      <color theme="1"/>
      <name val="微软雅黑"/>
      <family val="2"/>
      <charset val="134"/>
      <scheme val="minor"/>
    </font>
    <font>
      <b/>
      <sz val="12"/>
      <color theme="1"/>
      <name val="宋体"/>
      <family val="2"/>
      <charset val="134"/>
    </font>
    <font>
      <sz val="11"/>
      <color theme="1"/>
      <name val="Microsoft YaHei Light"/>
      <family val="2"/>
      <charset val="134"/>
    </font>
    <font>
      <sz val="11"/>
      <color theme="3"/>
      <name val="Microsoft YaHei Light"/>
      <family val="2"/>
      <charset val="134"/>
    </font>
    <font>
      <b/>
      <sz val="11"/>
      <color theme="3"/>
      <name val="Microsoft YaHei Light"/>
      <family val="2"/>
      <charset val="134"/>
    </font>
    <font>
      <sz val="32"/>
      <color theme="6"/>
      <name val="Impact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Calibri"/>
      <family val="2"/>
    </font>
    <font>
      <sz val="9"/>
      <color theme="1"/>
      <name val="Microsoft YaHei Light"/>
      <family val="2"/>
      <charset val="134"/>
    </font>
    <font>
      <b/>
      <sz val="12"/>
      <color theme="0"/>
      <name val="宋体"/>
      <family val="2"/>
      <charset val="134"/>
    </font>
    <font>
      <sz val="11"/>
      <color rgb="FFE6E6FA"/>
      <name val="幼圆"/>
      <family val="3"/>
      <charset val="134"/>
    </font>
    <font>
      <sz val="8"/>
      <color theme="1"/>
      <name val="Cascadia Code Light"/>
      <family val="3"/>
    </font>
    <font>
      <sz val="9"/>
      <color rgb="FF0066FF"/>
      <name val="Corbel"/>
      <family val="2"/>
      <scheme val="minor"/>
    </font>
    <font>
      <sz val="9"/>
      <color rgb="FF0066FF"/>
      <name val="Microsoft YaHei Light"/>
      <family val="2"/>
      <charset val="134"/>
    </font>
    <font>
      <b/>
      <sz val="10"/>
      <color theme="0"/>
      <name val="等线"/>
      <family val="3"/>
      <charset val="134"/>
    </font>
    <font>
      <sz val="10"/>
      <color rgb="FFE6E6FA"/>
      <name val="等线"/>
      <family val="3"/>
      <charset val="134"/>
    </font>
    <font>
      <sz val="10"/>
      <color theme="0"/>
      <name val="等线"/>
      <family val="3"/>
      <charset val="134"/>
    </font>
    <font>
      <sz val="10"/>
      <color theme="1"/>
      <name val="等线"/>
      <family val="3"/>
      <charset val="134"/>
    </font>
    <font>
      <sz val="7"/>
      <color theme="1"/>
      <name val="Cascadia Code Light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374370555742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555555"/>
      </patternFill>
    </fill>
  </fills>
  <borders count="24">
    <border>
      <left/>
      <right/>
      <top/>
      <bottom/>
      <diagonal/>
    </border>
    <border>
      <left/>
      <right/>
      <top style="thick">
        <color theme="2" tint="-0.499984740745262"/>
      </top>
      <bottom/>
      <diagonal/>
    </border>
    <border>
      <left/>
      <right/>
      <top/>
      <bottom style="thick">
        <color theme="2" tint="-0.499984740745262"/>
      </bottom>
      <diagonal/>
    </border>
    <border>
      <left/>
      <right/>
      <top style="dotted">
        <color theme="2" tint="-0.499984740745262"/>
      </top>
      <bottom style="dotted">
        <color theme="2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theme="2" tint="-0.499984740745262"/>
      </top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34998626667073579"/>
      </top>
      <bottom style="hair">
        <color theme="1" tint="0.34998626667073579"/>
      </bottom>
      <diagonal/>
    </border>
    <border>
      <left/>
      <right/>
      <top style="hair">
        <color theme="1" tint="0.34998626667073579"/>
      </top>
      <bottom style="thick">
        <color theme="2" tint="-0.49998474074526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slantDashDot">
        <color rgb="FFD8EFF1"/>
      </left>
      <right style="thin">
        <color theme="6"/>
      </right>
      <top style="slantDashDot">
        <color rgb="FFD8EFF1"/>
      </top>
      <bottom/>
      <diagonal/>
    </border>
    <border>
      <left style="hair">
        <color indexed="64"/>
      </left>
      <right style="thin">
        <color theme="6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6"/>
      </right>
      <top/>
      <bottom style="hair">
        <color indexed="64"/>
      </bottom>
      <diagonal/>
    </border>
    <border>
      <left style="hair">
        <color indexed="64"/>
      </left>
      <right style="thin">
        <color theme="6"/>
      </right>
      <top style="hair">
        <color indexed="64"/>
      </top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 style="thin">
        <color theme="6"/>
      </right>
      <top style="slantDashDot">
        <color rgb="FFD8EFF1"/>
      </top>
      <bottom style="hair">
        <color indexed="64"/>
      </bottom>
      <diagonal/>
    </border>
    <border>
      <left style="thin">
        <color theme="6"/>
      </left>
      <right style="thin">
        <color theme="6"/>
      </right>
      <top style="hair">
        <color indexed="64"/>
      </top>
      <bottom style="hair">
        <color indexed="64"/>
      </bottom>
      <diagonal/>
    </border>
    <border>
      <left style="thin">
        <color theme="6"/>
      </left>
      <right style="thin">
        <color theme="6"/>
      </right>
      <top style="hair">
        <color indexed="64"/>
      </top>
      <bottom/>
      <diagonal/>
    </border>
    <border>
      <left style="thin">
        <color theme="6"/>
      </left>
      <right style="thin">
        <color theme="6"/>
      </right>
      <top/>
      <bottom style="hair">
        <color indexed="64"/>
      </bottom>
      <diagonal/>
    </border>
    <border>
      <left style="thin">
        <color theme="6"/>
      </left>
      <right style="thin">
        <color theme="6"/>
      </right>
      <top/>
      <bottom/>
      <diagonal/>
    </border>
    <border>
      <left style="hair">
        <color indexed="64"/>
      </left>
      <right style="thin">
        <color theme="6"/>
      </right>
      <top style="hair">
        <color indexed="64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hair">
        <color indexed="64"/>
      </top>
      <bottom style="thin">
        <color theme="6"/>
      </bottom>
      <diagonal/>
    </border>
    <border>
      <left style="thin">
        <color rgb="FF000000"/>
      </left>
      <right style="thin">
        <color theme="6"/>
      </right>
      <top style="hair">
        <color indexed="64"/>
      </top>
      <bottom style="thin">
        <color theme="6"/>
      </bottom>
      <diagonal/>
    </border>
    <border>
      <left/>
      <right/>
      <top style="thick">
        <color theme="2" tint="-0.499984740745262"/>
      </top>
      <bottom style="dotted">
        <color theme="2" tint="-0.499984740745262"/>
      </bottom>
      <diagonal/>
    </border>
  </borders>
  <cellStyleXfs count="20">
    <xf numFmtId="0" fontId="0" fillId="2" borderId="0">
      <alignment vertical="center" wrapText="1"/>
    </xf>
    <xf numFmtId="0" fontId="5" fillId="0" borderId="0" applyNumberFormat="0" applyFill="0" applyProtection="0">
      <alignment horizontal="left" vertical="center"/>
    </xf>
    <xf numFmtId="0" fontId="9" fillId="0" borderId="0" applyNumberFormat="0" applyFill="0" applyBorder="0" applyProtection="0">
      <alignment horizontal="left" wrapText="1"/>
    </xf>
    <xf numFmtId="44" fontId="3" fillId="0" borderId="0" applyFont="0" applyFill="0" applyBorder="0" applyProtection="0">
      <alignment vertical="center"/>
    </xf>
    <xf numFmtId="9" fontId="7" fillId="0" borderId="0" applyFill="0" applyBorder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7" fillId="0" borderId="0" applyNumberFormat="0" applyFill="0" applyBorder="0" applyAlignment="0">
      <alignment vertical="center"/>
    </xf>
    <xf numFmtId="0" fontId="4" fillId="0" borderId="1" applyNumberFormat="0" applyFill="0" applyProtection="0">
      <alignment horizontal="right" vertical="center"/>
    </xf>
    <xf numFmtId="0" fontId="12" fillId="0" borderId="0" applyNumberFormat="0" applyFill="0" applyBorder="0" applyProtection="0">
      <alignment horizontal="left"/>
    </xf>
    <xf numFmtId="7" fontId="4" fillId="0" borderId="1" applyFill="0" applyAlignment="0" applyProtection="0"/>
    <xf numFmtId="37" fontId="6" fillId="0" borderId="0" applyFont="0" applyFill="0" applyBorder="0" applyProtection="0">
      <alignment horizontal="left" vertical="center" indent="1"/>
    </xf>
    <xf numFmtId="7" fontId="6" fillId="0" borderId="0" applyFont="0" applyFill="0" applyBorder="0" applyProtection="0">
      <alignment horizontal="right" vertical="center"/>
    </xf>
    <xf numFmtId="0" fontId="6" fillId="2" borderId="0" applyNumberFormat="0" applyFont="0" applyFill="0" applyBorder="0">
      <alignment horizontal="center" vertical="center"/>
    </xf>
    <xf numFmtId="0" fontId="6" fillId="2" borderId="0" applyNumberFormat="0" applyFont="0" applyFill="0" applyBorder="0">
      <alignment horizontal="right" vertical="center"/>
    </xf>
    <xf numFmtId="0" fontId="10" fillId="2" borderId="0" applyNumberFormat="0" applyFill="0" applyBorder="0" applyAlignment="0" applyProtection="0">
      <alignment vertical="center" wrapText="1"/>
    </xf>
    <xf numFmtId="0" fontId="10" fillId="2" borderId="0" applyNumberFormat="0" applyFill="0" applyBorder="0" applyAlignment="0" applyProtection="0">
      <alignment vertical="center" wrapText="1"/>
    </xf>
    <xf numFmtId="0" fontId="2" fillId="3" borderId="0" applyNumberFormat="0" applyBorder="0" applyAlignment="0" applyProtection="0"/>
    <xf numFmtId="0" fontId="11" fillId="0" borderId="0">
      <alignment vertical="center"/>
    </xf>
    <xf numFmtId="0" fontId="6" fillId="0" borderId="0" applyNumberFormat="0" applyFill="0" applyBorder="0" applyProtection="0">
      <alignment vertical="center"/>
    </xf>
    <xf numFmtId="0" fontId="27" fillId="0" borderId="0"/>
  </cellStyleXfs>
  <cellXfs count="100">
    <xf numFmtId="0" fontId="0" fillId="2" borderId="0" xfId="0">
      <alignment vertical="center" wrapText="1"/>
    </xf>
    <xf numFmtId="9" fontId="1" fillId="2" borderId="0" xfId="4" applyFont="1" applyFill="1">
      <alignment horizontal="left" vertical="center"/>
    </xf>
    <xf numFmtId="0" fontId="6" fillId="4" borderId="0" xfId="18" applyFill="1" applyAlignment="1">
      <alignment horizontal="right" vertical="center"/>
    </xf>
    <xf numFmtId="0" fontId="5" fillId="4" borderId="0" xfId="1" applyFill="1">
      <alignment horizontal="left" vertical="center"/>
    </xf>
    <xf numFmtId="0" fontId="0" fillId="4" borderId="0" xfId="0" applyFill="1">
      <alignment vertical="center" wrapText="1"/>
    </xf>
    <xf numFmtId="0" fontId="5" fillId="4" borderId="0" xfId="1" applyFill="1" applyAlignment="1">
      <alignment vertical="center"/>
    </xf>
    <xf numFmtId="0" fontId="0" fillId="4" borderId="0" xfId="13" applyFont="1" applyFill="1">
      <alignment horizontal="right" vertical="center"/>
    </xf>
    <xf numFmtId="7" fontId="0" fillId="4" borderId="0" xfId="11" applyFont="1" applyFill="1">
      <alignment horizontal="right" vertical="center"/>
    </xf>
    <xf numFmtId="9" fontId="1" fillId="4" borderId="0" xfId="4" applyFont="1" applyFill="1">
      <alignment horizontal="left" vertical="center"/>
    </xf>
    <xf numFmtId="7" fontId="13" fillId="4" borderId="1" xfId="7" applyNumberFormat="1" applyFont="1" applyFill="1">
      <alignment horizontal="right" vertical="center"/>
    </xf>
    <xf numFmtId="7" fontId="4" fillId="4" borderId="1" xfId="9" applyFill="1" applyAlignment="1">
      <alignment vertical="center" wrapText="1"/>
    </xf>
    <xf numFmtId="0" fontId="0" fillId="4" borderId="0" xfId="18" applyFont="1" applyFill="1" applyAlignment="1">
      <alignment horizontal="right" vertical="center"/>
    </xf>
    <xf numFmtId="0" fontId="18" fillId="4" borderId="0" xfId="13" applyFont="1" applyFill="1">
      <alignment horizontal="right" vertical="center"/>
    </xf>
    <xf numFmtId="0" fontId="0" fillId="4" borderId="0" xfId="18" applyFont="1" applyFill="1" applyAlignment="1">
      <alignment horizontal="center" vertical="center"/>
    </xf>
    <xf numFmtId="9" fontId="1" fillId="4" borderId="0" xfId="4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0" fillId="2" borderId="0" xfId="0" applyAlignment="1">
      <alignment horizontal="center" vertical="center" wrapText="1"/>
    </xf>
    <xf numFmtId="0" fontId="22" fillId="4" borderId="0" xfId="13" applyFont="1" applyFill="1">
      <alignment horizontal="right" vertical="center"/>
    </xf>
    <xf numFmtId="0" fontId="23" fillId="4" borderId="0" xfId="13" applyFont="1" applyFill="1">
      <alignment horizontal="right" vertical="center"/>
    </xf>
    <xf numFmtId="0" fontId="22" fillId="4" borderId="0" xfId="0" applyFont="1" applyFill="1">
      <alignment vertical="center" wrapText="1"/>
    </xf>
    <xf numFmtId="9" fontId="21" fillId="4" borderId="0" xfId="4" applyFont="1" applyFill="1">
      <alignment horizontal="left" vertical="center"/>
    </xf>
    <xf numFmtId="0" fontId="15" fillId="7" borderId="0" xfId="5" applyFont="1" applyFill="1" applyAlignment="1">
      <alignment horizontal="center" vertical="center"/>
    </xf>
    <xf numFmtId="0" fontId="15" fillId="7" borderId="0" xfId="5" applyFont="1" applyFill="1" applyAlignment="1">
      <alignment horizontal="left" vertical="center"/>
    </xf>
    <xf numFmtId="0" fontId="17" fillId="7" borderId="0" xfId="17" applyFont="1" applyFill="1" applyAlignment="1">
      <alignment horizontal="left" vertical="center"/>
    </xf>
    <xf numFmtId="0" fontId="2" fillId="7" borderId="0" xfId="16" applyFill="1" applyAlignment="1">
      <alignment vertical="center" wrapText="1"/>
    </xf>
    <xf numFmtId="0" fontId="24" fillId="7" borderId="0" xfId="17" applyFont="1" applyFill="1" applyAlignment="1">
      <alignment horizontal="left" vertical="center"/>
    </xf>
    <xf numFmtId="0" fontId="27" fillId="0" borderId="0" xfId="19" applyAlignment="1">
      <alignment horizontal="right" vertical="center" wrapText="1" indent="1" justifyLastLine="1" shrinkToFit="1"/>
    </xf>
    <xf numFmtId="0" fontId="27" fillId="0" borderId="0" xfId="19"/>
    <xf numFmtId="0" fontId="1" fillId="6" borderId="5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left" vertical="center" wrapText="1"/>
    </xf>
    <xf numFmtId="0" fontId="21" fillId="6" borderId="5" xfId="0" applyFont="1" applyFill="1" applyBorder="1" applyAlignment="1">
      <alignment horizontal="left" vertical="center"/>
    </xf>
    <xf numFmtId="0" fontId="21" fillId="6" borderId="5" xfId="0" applyFont="1" applyFill="1" applyBorder="1">
      <alignment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1" fillId="2" borderId="5" xfId="0" applyFont="1" applyBorder="1" applyAlignment="1">
      <alignment horizontal="center" vertical="center" wrapText="1"/>
    </xf>
    <xf numFmtId="0" fontId="21" fillId="2" borderId="5" xfId="0" applyFont="1" applyBorder="1">
      <alignment vertical="center" wrapText="1"/>
    </xf>
    <xf numFmtId="0" fontId="21" fillId="2" borderId="5" xfId="0" applyFont="1" applyBorder="1" applyAlignment="1">
      <alignment vertical="center"/>
    </xf>
    <xf numFmtId="0" fontId="21" fillId="2" borderId="5" xfId="0" applyFont="1" applyBorder="1" applyAlignment="1">
      <alignment horizontal="center" vertical="center" wrapText="1"/>
    </xf>
    <xf numFmtId="0" fontId="21" fillId="6" borderId="5" xfId="0" applyFont="1" applyFill="1" applyBorder="1" applyAlignment="1">
      <alignment vertical="center"/>
    </xf>
    <xf numFmtId="0" fontId="21" fillId="6" borderId="3" xfId="0" applyFont="1" applyFill="1" applyBorder="1">
      <alignment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10" fillId="0" borderId="0" xfId="14" applyFill="1" applyAlignment="1">
      <alignment horizontal="right" vertical="center" wrapText="1" indent="1" justifyLastLine="1" shrinkToFit="1"/>
    </xf>
    <xf numFmtId="0" fontId="22" fillId="4" borderId="6" xfId="13" applyFont="1" applyFill="1" applyBorder="1">
      <alignment horizontal="right" vertical="center"/>
    </xf>
    <xf numFmtId="7" fontId="22" fillId="4" borderId="6" xfId="11" applyFont="1" applyFill="1" applyBorder="1">
      <alignment horizontal="right" vertical="center"/>
    </xf>
    <xf numFmtId="0" fontId="22" fillId="4" borderId="7" xfId="13" applyFont="1" applyFill="1" applyBorder="1">
      <alignment horizontal="right" vertical="center"/>
    </xf>
    <xf numFmtId="7" fontId="22" fillId="4" borderId="7" xfId="11" applyFont="1" applyFill="1" applyBorder="1">
      <alignment horizontal="right" vertical="center"/>
    </xf>
    <xf numFmtId="0" fontId="22" fillId="4" borderId="7" xfId="13" applyFont="1" applyFill="1" applyBorder="1" applyAlignment="1">
      <alignment horizontal="right" vertical="center" wrapText="1"/>
    </xf>
    <xf numFmtId="0" fontId="22" fillId="4" borderId="6" xfId="13" applyFont="1" applyFill="1" applyBorder="1" applyAlignment="1">
      <alignment horizontal="right" vertical="center" wrapText="1"/>
    </xf>
    <xf numFmtId="0" fontId="30" fillId="8" borderId="9" xfId="19" applyFont="1" applyFill="1" applyBorder="1" applyAlignment="1">
      <alignment horizontal="center" vertical="center" wrapText="1" justifyLastLine="1" shrinkToFi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left" vertical="center" wrapText="1" indent="1" justifyLastLine="1" shrinkToFit="1"/>
    </xf>
    <xf numFmtId="0" fontId="31" fillId="0" borderId="14" xfId="19" applyFont="1" applyBorder="1" applyAlignment="1">
      <alignment horizontal="left" vertical="center" wrapText="1" indent="1" justifyLastLine="1" shrinkToFit="1"/>
    </xf>
    <xf numFmtId="0" fontId="31" fillId="0" borderId="11" xfId="19" applyFont="1" applyBorder="1" applyAlignment="1">
      <alignment horizontal="left" vertical="center" wrapText="1" indent="1" justifyLastLine="1" shrinkToFit="1"/>
    </xf>
    <xf numFmtId="0" fontId="31" fillId="0" borderId="12" xfId="19" applyFont="1" applyBorder="1" applyAlignment="1">
      <alignment horizontal="left" vertical="center" wrapText="1" indent="1" justifyLastLine="1" shrinkToFit="1"/>
    </xf>
    <xf numFmtId="0" fontId="31" fillId="0" borderId="19" xfId="19" applyFont="1" applyBorder="1" applyAlignment="1">
      <alignment horizontal="left" vertical="center" wrapText="1" indent="1" justifyLastLine="1" shrinkToFit="1"/>
    </xf>
    <xf numFmtId="0" fontId="31" fillId="0" borderId="16" xfId="19" applyFont="1" applyBorder="1" applyAlignment="1">
      <alignment horizontal="left" vertical="center" wrapText="1" indent="1" justifyLastLine="1" shrinkToFit="1"/>
    </xf>
    <xf numFmtId="0" fontId="31" fillId="0" borderId="18" xfId="19" applyFont="1" applyBorder="1" applyAlignment="1">
      <alignment horizontal="left" vertical="center" wrapText="1" indent="1" justifyLastLine="1" shrinkToFit="1"/>
    </xf>
    <xf numFmtId="0" fontId="31" fillId="0" borderId="22" xfId="19" applyFont="1" applyBorder="1" applyAlignment="1">
      <alignment horizontal="left" vertical="center" wrapText="1" indent="1" justifyLastLine="1" shrinkToFit="1"/>
    </xf>
    <xf numFmtId="0" fontId="31" fillId="0" borderId="21" xfId="19" applyFont="1" applyBorder="1" applyAlignment="1">
      <alignment horizontal="left" vertical="center" wrapText="1" indent="1" justifyLastLine="1" shrinkToFit="1"/>
    </xf>
    <xf numFmtId="0" fontId="31" fillId="0" borderId="11" xfId="19" applyFont="1" applyBorder="1" applyAlignment="1">
      <alignment horizontal="left" vertical="top" wrapText="1"/>
    </xf>
    <xf numFmtId="0" fontId="31" fillId="0" borderId="16" xfId="19" applyFont="1" applyBorder="1" applyAlignment="1">
      <alignment horizontal="left" vertical="top" wrapText="1"/>
    </xf>
    <xf numFmtId="0" fontId="31" fillId="0" borderId="20" xfId="19" applyFont="1" applyBorder="1" applyAlignment="1">
      <alignment horizontal="left" vertical="top" wrapText="1"/>
    </xf>
    <xf numFmtId="0" fontId="31" fillId="0" borderId="21" xfId="19" applyFont="1" applyBorder="1" applyAlignment="1">
      <alignment horizontal="left" vertical="top" wrapText="1"/>
    </xf>
    <xf numFmtId="37" fontId="21" fillId="6" borderId="5" xfId="10" applyFont="1" applyFill="1" applyBorder="1" applyAlignment="1">
      <alignment horizontal="left" vertical="center"/>
    </xf>
    <xf numFmtId="37" fontId="21" fillId="2" borderId="5" xfId="10" applyFont="1" applyFill="1" applyBorder="1" applyAlignment="1">
      <alignment horizontal="left" vertical="center"/>
    </xf>
    <xf numFmtId="37" fontId="21" fillId="6" borderId="3" xfId="10" applyFont="1" applyFill="1" applyBorder="1" applyAlignment="1">
      <alignment horizontal="left" vertical="center"/>
    </xf>
    <xf numFmtId="0" fontId="28" fillId="2" borderId="3" xfId="0" applyFont="1" applyBorder="1">
      <alignment vertical="center" wrapText="1"/>
    </xf>
    <xf numFmtId="0" fontId="32" fillId="6" borderId="5" xfId="14" applyFont="1" applyFill="1" applyBorder="1">
      <alignment vertical="center" wrapText="1"/>
    </xf>
    <xf numFmtId="0" fontId="32" fillId="2" borderId="5" xfId="14" applyFont="1" applyBorder="1">
      <alignment vertical="center" wrapText="1"/>
    </xf>
    <xf numFmtId="0" fontId="32" fillId="6" borderId="3" xfId="14" applyFont="1" applyFill="1" applyBorder="1">
      <alignment vertical="center" wrapText="1"/>
    </xf>
    <xf numFmtId="0" fontId="33" fillId="2" borderId="3" xfId="0" applyFont="1" applyBorder="1">
      <alignment vertical="center" wrapText="1"/>
    </xf>
    <xf numFmtId="0" fontId="31" fillId="0" borderId="10" xfId="19" applyFont="1" applyBorder="1" applyAlignment="1">
      <alignment horizontal="left" vertical="center" wrapText="1" indent="1" justifyLastLine="1" shrinkToFit="1"/>
    </xf>
    <xf numFmtId="0" fontId="31" fillId="0" borderId="15" xfId="19" applyFont="1" applyBorder="1" applyAlignment="1">
      <alignment horizontal="left" vertical="center" wrapText="1" indent="1" justifyLastLine="1" shrinkToFit="1"/>
    </xf>
    <xf numFmtId="0" fontId="31" fillId="0" borderId="17" xfId="19" applyFont="1" applyBorder="1" applyAlignment="1">
      <alignment horizontal="left" vertical="center" wrapText="1" indent="1" justifyLastLine="1" shrinkToFit="1"/>
    </xf>
    <xf numFmtId="0" fontId="31" fillId="0" borderId="13" xfId="19" applyFont="1" applyBorder="1" applyAlignment="1">
      <alignment horizontal="left" vertical="center" wrapText="1" indent="1" justifyLastLine="1" shrinkToFit="1"/>
    </xf>
    <xf numFmtId="0" fontId="34" fillId="8" borderId="4" xfId="19" applyFont="1" applyFill="1" applyBorder="1" applyAlignment="1">
      <alignment horizontal="center" vertical="center" wrapText="1" justifyLastLine="1" shrinkToFit="1"/>
    </xf>
    <xf numFmtId="0" fontId="34" fillId="0" borderId="0" xfId="19" applyFont="1"/>
    <xf numFmtId="0" fontId="35" fillId="8" borderId="9" xfId="19" applyFont="1" applyFill="1" applyBorder="1" applyAlignment="1">
      <alignment horizontal="center" vertical="center" wrapText="1" justifyLastLine="1" shrinkToFit="1"/>
    </xf>
    <xf numFmtId="0" fontId="36" fillId="8" borderId="9" xfId="19" applyFont="1" applyFill="1" applyBorder="1" applyAlignment="1">
      <alignment horizontal="center" vertical="center" wrapText="1" justifyLastLine="1" shrinkToFit="1"/>
    </xf>
    <xf numFmtId="0" fontId="36" fillId="0" borderId="0" xfId="19" applyFont="1"/>
    <xf numFmtId="0" fontId="35" fillId="8" borderId="4" xfId="19" applyFont="1" applyFill="1" applyBorder="1" applyAlignment="1">
      <alignment horizontal="center" vertical="center" wrapText="1" justifyLastLine="1" shrinkToFit="1"/>
    </xf>
    <xf numFmtId="0" fontId="37" fillId="0" borderId="0" xfId="19" applyFont="1"/>
    <xf numFmtId="0" fontId="36" fillId="2" borderId="0" xfId="0" applyFont="1">
      <alignment vertical="center" wrapText="1"/>
    </xf>
    <xf numFmtId="0" fontId="13" fillId="5" borderId="2" xfId="2" applyFont="1" applyFill="1" applyBorder="1" applyAlignment="1">
      <alignment horizontal="center" vertical="center" wrapText="1"/>
    </xf>
    <xf numFmtId="0" fontId="19" fillId="5" borderId="2" xfId="2" applyFont="1" applyFill="1" applyBorder="1" applyAlignment="1">
      <alignment horizontal="center" vertical="center" wrapText="1"/>
    </xf>
    <xf numFmtId="0" fontId="19" fillId="5" borderId="2" xfId="2" applyFont="1" applyFill="1" applyBorder="1" applyAlignment="1">
      <alignment horizontal="center" vertical="center"/>
    </xf>
    <xf numFmtId="0" fontId="19" fillId="5" borderId="2" xfId="2" applyFont="1" applyFill="1" applyBorder="1" applyAlignment="1">
      <alignment horizontal="left" vertical="center" wrapText="1"/>
    </xf>
    <xf numFmtId="0" fontId="19" fillId="5" borderId="2" xfId="2" applyFont="1" applyFill="1" applyBorder="1" applyAlignment="1">
      <alignment horizontal="left" vertical="center"/>
    </xf>
    <xf numFmtId="0" fontId="20" fillId="5" borderId="2" xfId="2" applyFont="1" applyFill="1" applyBorder="1" applyAlignment="1">
      <alignment horizontal="center" vertical="center" wrapText="1"/>
    </xf>
    <xf numFmtId="0" fontId="29" fillId="5" borderId="2" xfId="2" applyFont="1" applyFill="1" applyBorder="1" applyAlignment="1">
      <alignment horizontal="center" vertical="center" wrapText="1"/>
    </xf>
    <xf numFmtId="0" fontId="38" fillId="0" borderId="11" xfId="19" applyFont="1" applyBorder="1" applyAlignment="1">
      <alignment horizontal="left" vertical="center" wrapText="1"/>
    </xf>
    <xf numFmtId="0" fontId="28" fillId="2" borderId="3" xfId="0" applyFont="1" applyBorder="1" applyAlignment="1">
      <alignment horizontal="left" vertical="center" wrapText="1"/>
    </xf>
    <xf numFmtId="0" fontId="28" fillId="6" borderId="3" xfId="0" applyFont="1" applyFill="1" applyBorder="1" applyAlignment="1">
      <alignment horizontal="left" vertical="center" wrapText="1"/>
    </xf>
    <xf numFmtId="0" fontId="22" fillId="4" borderId="8" xfId="13" applyFont="1" applyFill="1" applyBorder="1" applyAlignment="1">
      <alignment horizontal="right" vertical="center" wrapText="1"/>
    </xf>
    <xf numFmtId="0" fontId="22" fillId="4" borderId="7" xfId="13" applyFont="1" applyFill="1" applyBorder="1" applyAlignment="1">
      <alignment horizontal="right" vertical="center" wrapText="1"/>
    </xf>
    <xf numFmtId="0" fontId="22" fillId="4" borderId="8" xfId="13" applyFont="1" applyFill="1" applyBorder="1" applyAlignment="1">
      <alignment horizontal="center" vertical="center" wrapText="1"/>
    </xf>
    <xf numFmtId="0" fontId="28" fillId="6" borderId="23" xfId="0" applyFont="1" applyFill="1" applyBorder="1" applyAlignment="1">
      <alignment horizontal="left" vertical="center" wrapText="1"/>
    </xf>
    <xf numFmtId="0" fontId="22" fillId="4" borderId="7" xfId="13" applyNumberFormat="1" applyFont="1" applyFill="1" applyBorder="1" applyAlignment="1">
      <alignment horizontal="right" vertical="center" wrapText="1"/>
    </xf>
    <xf numFmtId="0" fontId="22" fillId="4" borderId="6" xfId="13" applyFont="1" applyFill="1" applyBorder="1" applyAlignment="1">
      <alignment horizontal="right" vertical="center" wrapText="1"/>
    </xf>
    <xf numFmtId="7" fontId="22" fillId="4" borderId="6" xfId="11" applyFont="1" applyFill="1" applyBorder="1" applyAlignment="1">
      <alignment horizontal="right" vertical="center" wrapText="1"/>
    </xf>
    <xf numFmtId="7" fontId="22" fillId="4" borderId="7" xfId="11" applyFont="1" applyFill="1" applyBorder="1" applyAlignment="1">
      <alignment horizontal="right" vertical="center" wrapText="1"/>
    </xf>
  </cellXfs>
  <cellStyles count="20">
    <cellStyle name="20% - 着色 4" xfId="16" builtinId="42"/>
    <cellStyle name="Budget labels" xfId="13" xr:uid="{00000000-0005-0000-0000-000001000000}"/>
    <cellStyle name="Done" xfId="12" xr:uid="{00000000-0005-0000-0000-000005000000}"/>
    <cellStyle name="Title 2" xfId="17" xr:uid="{00000000-0005-0000-0000-000010000000}"/>
    <cellStyle name="zHide text" xfId="6" xr:uid="{00000000-0005-0000-0000-000012000000}"/>
    <cellStyle name="千位分隔" xfId="10" builtinId="3" customBuiltin="1"/>
    <cellStyle name="已访问的超链接" xfId="15" builtinId="9" customBuiltin="1"/>
    <cellStyle name="常规" xfId="0" builtinId="0" customBuiltin="1"/>
    <cellStyle name="常规 2" xfId="19" xr:uid="{FE971702-C168-43EA-B5E5-9C8C44986D14}"/>
    <cellStyle name="标题" xfId="5" builtinId="15" customBuiltin="1"/>
    <cellStyle name="标题 1" xfId="1" builtinId="16" customBuiltin="1"/>
    <cellStyle name="标题 2" xfId="2" builtinId="17" customBuiltin="1"/>
    <cellStyle name="标题 3" xfId="7" builtinId="18" customBuiltin="1"/>
    <cellStyle name="标题 4" xfId="8" builtinId="19" customBuiltin="1"/>
    <cellStyle name="汇总" xfId="9" builtinId="25" customBuiltin="1"/>
    <cellStyle name="百分比" xfId="4" builtinId="5" customBuiltin="1"/>
    <cellStyle name="解释性文本" xfId="18" builtinId="53" customBuiltin="1"/>
    <cellStyle name="货币" xfId="3" builtinId="4" customBuiltin="1"/>
    <cellStyle name="货币[0]" xfId="11" builtinId="7" customBuiltin="1"/>
    <cellStyle name="超链接" xfId="14" builtinId="8" customBuiltin="1"/>
  </cellStyles>
  <dxfs count="1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4" tint="-0.24994659260841701"/>
      </font>
      <border>
        <bottom style="thin">
          <color theme="4"/>
        </bottom>
        <vertical/>
        <horizontal/>
      </border>
    </dxf>
    <dxf>
      <font>
        <color theme="4" tint="-0.24994659260841701"/>
      </font>
      <fill>
        <patternFill patternType="none">
          <bgColor auto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</font>
      <fill>
        <patternFill patternType="solid">
          <fgColor theme="0" tint="-0.14993743705557422"/>
          <bgColor theme="0" tint="-4.9989318521683403E-2"/>
        </patternFill>
      </fill>
    </dxf>
    <dxf>
      <font>
        <b/>
        <i val="0"/>
      </font>
      <fill>
        <patternFill patternType="none">
          <bgColor auto="1"/>
        </patternFill>
      </fill>
      <border>
        <top/>
        <bottom style="thick">
          <color theme="2" tint="-0.499984740745262"/>
        </bottom>
      </border>
    </dxf>
    <dxf>
      <font>
        <b val="0"/>
        <i val="0"/>
        <color theme="1"/>
      </font>
      <border diagonalUp="0" diagonalDown="0">
        <left/>
        <right/>
        <top style="dotted">
          <color theme="2" tint="-0.499984740745262"/>
        </top>
        <bottom style="dotted">
          <color theme="2" tint="-0.499984740745262"/>
        </bottom>
        <vertical/>
        <horizontal style="dotted">
          <color theme="2" tint="-0.499984740745262"/>
        </horizontal>
      </border>
    </dxf>
  </dxfs>
  <tableStyles count="2" defaultTableStyle="TableStyleMedium2" defaultPivotStyle="PivotStyleLight16">
    <tableStyle name="College Checklist" pivot="0" count="3" xr9:uid="{00000000-0011-0000-FFFF-FFFF00000000}">
      <tableStyleElement type="wholeTable" dxfId="13"/>
      <tableStyleElement type="headerRow" dxfId="12"/>
      <tableStyleElement type="firstRowStripe" dxfId="11"/>
    </tableStyle>
    <tableStyle name="Shopping List" pivot="0" table="0" count="10" xr9:uid="{00000000-0011-0000-FFFF-FFFF01000000}">
      <tableStyleElement type="wholeTable" dxfId="10"/>
      <tableStyleElement type="headerRow" dxfId="9"/>
    </tableStyle>
  </tableStyles>
  <colors>
    <mruColors>
      <color rgb="FFF2543A"/>
      <color rgb="FFBE1F16"/>
      <color rgb="FF0066FF"/>
      <color rgb="FFD8EFF1"/>
      <color rgb="FFEAEAE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hopping List">
        <x14:slicerStyle name="Shopping List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6409381665122E-2"/>
          <c:y val="0.25048243969503814"/>
          <c:w val="0.90471623009879287"/>
          <c:h val="0.398200224971878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HealthReport!$A$1</c:f>
              <c:strCache>
                <c:ptCount val="1"/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9A-442B-AB08-6F070EE98C93}"/>
              </c:ext>
            </c:extLst>
          </c:dPt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29A-442B-AB08-6F070EE98C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HealthReport!$L$27</c:f>
              <c:numCache>
                <c:formatCode>0%</c:formatCode>
                <c:ptCount val="1"/>
              </c:numCache>
            </c:numRef>
          </c:cat>
          <c:val>
            <c:numRef>
              <c:f>HealthReport!$L$28</c:f>
              <c:numCache>
                <c:formatCode>General</c:formatCode>
                <c:ptCount val="1"/>
                <c:pt idx="0">
                  <c:v>0.52307692307692311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9A-442B-AB08-6F070EE9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"/>
        <c:axId val="564033872"/>
        <c:axId val="564033480"/>
      </c:barChart>
      <c:valAx>
        <c:axId val="564033480"/>
        <c:scaling>
          <c:orientation val="minMax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4033872"/>
        <c:crosses val="autoZero"/>
        <c:crossBetween val="between"/>
        <c:majorUnit val="0.25"/>
      </c:valAx>
      <c:catAx>
        <c:axId val="5640338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64033480"/>
        <c:crosses val="autoZero"/>
        <c:auto val="1"/>
        <c:lblAlgn val="ctr"/>
        <c:lblOffset val="100"/>
        <c:noMultiLvlLbl val="0"/>
      </c:catAx>
      <c:spPr>
        <a:noFill/>
        <a:ln w="25400" cap="flat">
          <a:solidFill>
            <a:schemeClr val="tx1">
              <a:alpha val="99000"/>
            </a:schemeClr>
          </a:solidFill>
          <a:round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gradFill flip="none" rotWithShape="1">
          <a:gsLst>
            <a:gs pos="34000">
              <a:schemeClr val="tx2">
                <a:lumMod val="10000"/>
                <a:lumOff val="90000"/>
              </a:schemeClr>
            </a:gs>
            <a:gs pos="0">
              <a:schemeClr val="bg1">
                <a:lumMod val="85000"/>
              </a:schemeClr>
            </a:gs>
            <a:gs pos="100000">
              <a:schemeClr val="bg1">
                <a:lumMod val="75000"/>
              </a:schemeClr>
            </a:gs>
          </a:gsLst>
          <a:path path="shape">
            <a:fillToRect l="50000" t="50000" r="50000" b="50000"/>
          </a:path>
          <a:tileRect/>
        </a:gradFill>
        <a:ln w="9525">
          <a:noFill/>
        </a:ln>
        <a:effectLst/>
        <a:sp3d/>
      </c:spPr>
    </c:sideWall>
    <c:backWall>
      <c:thickness val="0"/>
      <c:spPr>
        <a:gradFill flip="none" rotWithShape="1">
          <a:gsLst>
            <a:gs pos="34000">
              <a:schemeClr val="tx2">
                <a:lumMod val="10000"/>
                <a:lumOff val="90000"/>
              </a:schemeClr>
            </a:gs>
            <a:gs pos="0">
              <a:schemeClr val="bg1">
                <a:lumMod val="85000"/>
              </a:schemeClr>
            </a:gs>
            <a:gs pos="100000">
              <a:schemeClr val="bg1">
                <a:lumMod val="75000"/>
              </a:schemeClr>
            </a:gs>
          </a:gsLst>
          <a:path path="shape">
            <a:fillToRect l="50000" t="50000" r="50000" b="50000"/>
          </a:path>
          <a:tileRect/>
        </a:gradFill>
        <a:ln w="9525">
          <a:solidFill>
            <a:schemeClr val="tx1"/>
          </a:solidFill>
        </a:ln>
        <a:effectLst/>
        <a:sp3d contourW="9525">
          <a:contourClr>
            <a:schemeClr val="tx1"/>
          </a:contourClr>
        </a:sp3d>
      </c:spPr>
    </c:backWall>
    <c:plotArea>
      <c:layout>
        <c:manualLayout>
          <c:layoutTarget val="inner"/>
          <c:xMode val="edge"/>
          <c:yMode val="edge"/>
          <c:x val="0.27374442229583901"/>
          <c:y val="5.1366979378933877E-2"/>
          <c:w val="0.66862974927011976"/>
          <c:h val="0.73348296065002583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HealthReport!$D$14</c:f>
              <c:strCache>
                <c:ptCount val="1"/>
                <c:pt idx="0">
                  <c:v>重要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HealthReport!$C$15:$C$24</c:f>
              <c:strCache>
                <c:ptCount val="10"/>
                <c:pt idx="0">
                  <c:v>主机系统</c:v>
                </c:pt>
                <c:pt idx="1">
                  <c:v>数据库分析</c:v>
                </c:pt>
                <c:pt idx="2">
                  <c:v>实例分析</c:v>
                </c:pt>
                <c:pt idx="3">
                  <c:v>数据库性能</c:v>
                </c:pt>
                <c:pt idx="4">
                  <c:v>数据库集群</c:v>
                </c:pt>
                <c:pt idx="5">
                  <c:v>DataGuard</c:v>
                </c:pt>
                <c:pt idx="6">
                  <c:v>数据库备份</c:v>
                </c:pt>
                <c:pt idx="7">
                  <c:v>数据库安全</c:v>
                </c:pt>
                <c:pt idx="8">
                  <c:v>软件使用</c:v>
                </c:pt>
                <c:pt idx="9">
                  <c:v>其他项检查</c:v>
                </c:pt>
              </c:strCache>
            </c:strRef>
          </c:cat>
          <c:val>
            <c:numRef>
              <c:f>HealthReport!$D$15:$D$24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5-422E-B41C-38AD1D946952}"/>
            </c:ext>
          </c:extLst>
        </c:ser>
        <c:ser>
          <c:idx val="1"/>
          <c:order val="1"/>
          <c:tx>
            <c:strRef>
              <c:f>HealthReport!$E$14</c:f>
              <c:strCache>
                <c:ptCount val="1"/>
                <c:pt idx="0">
                  <c:v>普通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  <a:contourClr>
                <a:srgbClr val="0070C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HealthReport!$C$15:$C$24</c:f>
              <c:strCache>
                <c:ptCount val="10"/>
                <c:pt idx="0">
                  <c:v>主机系统</c:v>
                </c:pt>
                <c:pt idx="1">
                  <c:v>数据库分析</c:v>
                </c:pt>
                <c:pt idx="2">
                  <c:v>实例分析</c:v>
                </c:pt>
                <c:pt idx="3">
                  <c:v>数据库性能</c:v>
                </c:pt>
                <c:pt idx="4">
                  <c:v>数据库集群</c:v>
                </c:pt>
                <c:pt idx="5">
                  <c:v>DataGuard</c:v>
                </c:pt>
                <c:pt idx="6">
                  <c:v>数据库备份</c:v>
                </c:pt>
                <c:pt idx="7">
                  <c:v>数据库安全</c:v>
                </c:pt>
                <c:pt idx="8">
                  <c:v>软件使用</c:v>
                </c:pt>
                <c:pt idx="9">
                  <c:v>其他项检查</c:v>
                </c:pt>
              </c:strCache>
            </c:strRef>
          </c:cat>
          <c:val>
            <c:numRef>
              <c:f>HealthReport!$E$15:$E$24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5-422E-B41C-38AD1D946952}"/>
            </c:ext>
          </c:extLst>
        </c:ser>
        <c:ser>
          <c:idx val="2"/>
          <c:order val="2"/>
          <c:tx>
            <c:strRef>
              <c:f>HealthReport!$F$14</c:f>
              <c:strCache>
                <c:ptCount val="1"/>
                <c:pt idx="0">
                  <c:v>轻微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HealthReport!$C$15:$C$24</c:f>
              <c:strCache>
                <c:ptCount val="10"/>
                <c:pt idx="0">
                  <c:v>主机系统</c:v>
                </c:pt>
                <c:pt idx="1">
                  <c:v>数据库分析</c:v>
                </c:pt>
                <c:pt idx="2">
                  <c:v>实例分析</c:v>
                </c:pt>
                <c:pt idx="3">
                  <c:v>数据库性能</c:v>
                </c:pt>
                <c:pt idx="4">
                  <c:v>数据库集群</c:v>
                </c:pt>
                <c:pt idx="5">
                  <c:v>DataGuard</c:v>
                </c:pt>
                <c:pt idx="6">
                  <c:v>数据库备份</c:v>
                </c:pt>
                <c:pt idx="7">
                  <c:v>数据库安全</c:v>
                </c:pt>
                <c:pt idx="8">
                  <c:v>软件使用</c:v>
                </c:pt>
                <c:pt idx="9">
                  <c:v>其他项检查</c:v>
                </c:pt>
              </c:strCache>
            </c:strRef>
          </c:cat>
          <c:val>
            <c:numRef>
              <c:f>HealthReport!$F$15:$F$24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B5-422E-B41C-38AD1D946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gapDepth val="390"/>
        <c:shape val="box"/>
        <c:axId val="984238799"/>
        <c:axId val="984241679"/>
        <c:axId val="0"/>
      </c:bar3DChart>
      <c:catAx>
        <c:axId val="98423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4241679"/>
        <c:crosses val="autoZero"/>
        <c:auto val="1"/>
        <c:lblAlgn val="l"/>
        <c:lblOffset val="100"/>
        <c:noMultiLvlLbl val="0"/>
      </c:catAx>
      <c:valAx>
        <c:axId val="98424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423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26000">
          <a:schemeClr val="bg1">
            <a:lumMod val="65000"/>
          </a:schemeClr>
        </a:gs>
        <a:gs pos="0">
          <a:schemeClr val="bg1">
            <a:lumMod val="65000"/>
          </a:schemeClr>
        </a:gs>
        <a:gs pos="98000">
          <a:schemeClr val="tx1">
            <a:lumMod val="50000"/>
            <a:lumOff val="50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40239</xdr:colOff>
      <xdr:row>0</xdr:row>
      <xdr:rowOff>162145</xdr:rowOff>
    </xdr:from>
    <xdr:to>
      <xdr:col>10</xdr:col>
      <xdr:colOff>1056345</xdr:colOff>
      <xdr:row>0</xdr:row>
      <xdr:rowOff>834610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FC97509-69C0-FE95-1924-B7AB136F5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3489" y="162145"/>
          <a:ext cx="1972070" cy="672465"/>
        </a:xfrm>
        <a:prstGeom prst="rect">
          <a:avLst/>
        </a:prstGeom>
      </xdr:spPr>
    </xdr:pic>
    <xdr:clientData/>
  </xdr:twoCellAnchor>
  <xdr:twoCellAnchor editAs="oneCell">
    <xdr:from>
      <xdr:col>6</xdr:col>
      <xdr:colOff>935687</xdr:colOff>
      <xdr:row>12</xdr:row>
      <xdr:rowOff>354806</xdr:rowOff>
    </xdr:from>
    <xdr:to>
      <xdr:col>10</xdr:col>
      <xdr:colOff>1132608</xdr:colOff>
      <xdr:row>15</xdr:row>
      <xdr:rowOff>11906</xdr:rowOff>
    </xdr:to>
    <xdr:graphicFrame macro="">
      <xdr:nvGraphicFramePr>
        <xdr:cNvPr id="5" name="Progress chart" descr="Progress bar depicting purchasing progress">
          <a:extLst>
            <a:ext uri="{FF2B5EF4-FFF2-40B4-BE49-F238E27FC236}">
              <a16:creationId xmlns:a16="http://schemas.microsoft.com/office/drawing/2014/main" id="{C6FDBF44-3117-44D3-86FB-4212B72B1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219542</xdr:colOff>
      <xdr:row>15</xdr:row>
      <xdr:rowOff>107122</xdr:rowOff>
    </xdr:from>
    <xdr:to>
      <xdr:col>10</xdr:col>
      <xdr:colOff>579258</xdr:colOff>
      <xdr:row>24</xdr:row>
      <xdr:rowOff>159768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D8602FE4-E55F-EAAD-F8DB-942A483D7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ollege Move Checklist">
      <a:dk1>
        <a:srgbClr val="000000"/>
      </a:dk1>
      <a:lt1>
        <a:srgbClr val="FFFFFF"/>
      </a:lt1>
      <a:dk2>
        <a:srgbClr val="3A0F0D"/>
      </a:dk2>
      <a:lt2>
        <a:srgbClr val="FCF7F3"/>
      </a:lt2>
      <a:accent1>
        <a:srgbClr val="E73D36"/>
      </a:accent1>
      <a:accent2>
        <a:srgbClr val="A7B73E"/>
      </a:accent2>
      <a:accent3>
        <a:srgbClr val="FA9E21"/>
      </a:accent3>
      <a:accent4>
        <a:srgbClr val="42ADBA"/>
      </a:accent4>
      <a:accent5>
        <a:srgbClr val="F7D93B"/>
      </a:accent5>
      <a:accent6>
        <a:srgbClr val="8C405E"/>
      </a:accent6>
      <a:hlink>
        <a:srgbClr val="42ADBA"/>
      </a:hlink>
      <a:folHlink>
        <a:srgbClr val="9E6B9C"/>
      </a:folHlink>
    </a:clrScheme>
    <a:fontScheme name="College Move Checklist">
      <a:majorFont>
        <a:latin typeface="Impact"/>
        <a:ea typeface=""/>
        <a:cs typeface=""/>
      </a:majorFont>
      <a:minorFont>
        <a:latin typeface="Corbe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2" tint="-0.249977111117893"/>
    <pageSetUpPr autoPageBreaks="0" fitToPage="1"/>
  </sheetPr>
  <dimension ref="B1:P62"/>
  <sheetViews>
    <sheetView showGridLines="0" tabSelected="1" topLeftCell="A21" zoomScale="112" zoomScaleNormal="112" zoomScaleSheetLayoutView="100" workbookViewId="0">
      <selection activeCell="J11" sqref="J11:K11"/>
    </sheetView>
  </sheetViews>
  <sheetFormatPr defaultRowHeight="30" customHeight="1" x14ac:dyDescent="0.25"/>
  <cols>
    <col min="1" max="1" width="11.625" customWidth="1"/>
    <col min="2" max="2" width="5.25" style="16" customWidth="1"/>
    <col min="3" max="3" width="15.625" customWidth="1"/>
    <col min="4" max="6" width="12.625" customWidth="1"/>
    <col min="7" max="7" width="6.375" customWidth="1"/>
    <col min="8" max="8" width="15.625" customWidth="1"/>
    <col min="9" max="10" width="12.625" customWidth="1"/>
    <col min="11" max="11" width="16.375" customWidth="1"/>
    <col min="12" max="12" width="6.75" customWidth="1"/>
    <col min="13" max="13" width="5.5" customWidth="1"/>
  </cols>
  <sheetData>
    <row r="1" spans="2:16" ht="73.5" customHeight="1" x14ac:dyDescent="0.25">
      <c r="B1" s="21"/>
      <c r="C1" s="22" t="s">
        <v>0</v>
      </c>
      <c r="D1" s="22"/>
      <c r="E1" s="22"/>
      <c r="F1" s="25" t="s">
        <v>45</v>
      </c>
      <c r="G1" s="25"/>
      <c r="H1" s="23"/>
      <c r="I1" s="23"/>
      <c r="J1" s="23"/>
      <c r="K1" s="24"/>
      <c r="L1" s="24"/>
    </row>
    <row r="2" spans="2:16" ht="27.6" customHeight="1" x14ac:dyDescent="0.25">
      <c r="B2" s="13"/>
      <c r="C2" s="11"/>
      <c r="D2" s="2"/>
      <c r="E2" s="2"/>
      <c r="F2" s="2"/>
      <c r="G2" s="2"/>
      <c r="H2" s="2"/>
      <c r="I2" s="2"/>
      <c r="J2" s="2"/>
      <c r="K2" s="2"/>
      <c r="L2" s="2"/>
    </row>
    <row r="3" spans="2:16" ht="30" customHeight="1" x14ac:dyDescent="0.25">
      <c r="B3" s="13"/>
      <c r="C3" s="3" t="s">
        <v>1</v>
      </c>
      <c r="D3" s="5"/>
      <c r="E3" s="3"/>
      <c r="F3" s="3"/>
      <c r="G3" s="4"/>
      <c r="H3" s="5" t="s">
        <v>2</v>
      </c>
      <c r="I3" s="5"/>
      <c r="J3" s="5"/>
      <c r="K3" s="5"/>
      <c r="L3" s="4"/>
    </row>
    <row r="4" spans="2:16" ht="39.950000000000003" customHeight="1" x14ac:dyDescent="0.25">
      <c r="B4" s="13"/>
      <c r="C4" s="41" t="s">
        <v>3</v>
      </c>
      <c r="D4" s="42"/>
      <c r="E4" s="98" t="s">
        <v>190</v>
      </c>
      <c r="F4" s="98"/>
      <c r="G4" s="19"/>
      <c r="H4" s="46" t="s">
        <v>14</v>
      </c>
      <c r="I4" s="46"/>
      <c r="J4" s="97" t="s">
        <v>5</v>
      </c>
      <c r="K4" s="97"/>
      <c r="L4" s="8"/>
    </row>
    <row r="5" spans="2:16" ht="39.950000000000003" customHeight="1" x14ac:dyDescent="0.25">
      <c r="B5" s="13"/>
      <c r="C5" s="43" t="s">
        <v>48</v>
      </c>
      <c r="D5" s="44"/>
      <c r="E5" s="99" t="s">
        <v>191</v>
      </c>
      <c r="F5" s="99"/>
      <c r="G5" s="19"/>
      <c r="H5" s="43" t="s">
        <v>6</v>
      </c>
      <c r="I5" s="43"/>
      <c r="J5" s="93" t="s">
        <v>199</v>
      </c>
      <c r="K5" s="93"/>
      <c r="L5" s="8"/>
    </row>
    <row r="6" spans="2:16" ht="39.950000000000003" customHeight="1" x14ac:dyDescent="0.25">
      <c r="B6" s="13"/>
      <c r="C6" s="43" t="s">
        <v>197</v>
      </c>
      <c r="D6" s="43"/>
      <c r="E6" s="93" t="s">
        <v>192</v>
      </c>
      <c r="F6" s="93"/>
      <c r="G6" s="19"/>
      <c r="H6" s="43" t="s">
        <v>7</v>
      </c>
      <c r="I6" s="43"/>
      <c r="J6" s="93" t="s">
        <v>8</v>
      </c>
      <c r="K6" s="93"/>
      <c r="L6" s="8"/>
    </row>
    <row r="7" spans="2:16" ht="39.950000000000003" customHeight="1" x14ac:dyDescent="0.25">
      <c r="B7" s="13"/>
      <c r="C7" s="43" t="s">
        <v>51</v>
      </c>
      <c r="D7" s="45"/>
      <c r="E7" s="93" t="s">
        <v>193</v>
      </c>
      <c r="F7" s="93"/>
      <c r="G7" s="19"/>
      <c r="H7" s="43" t="s">
        <v>76</v>
      </c>
      <c r="I7" s="43"/>
      <c r="J7" s="93" t="s">
        <v>15</v>
      </c>
      <c r="K7" s="93"/>
      <c r="L7" s="8"/>
      <c r="P7" s="1">
        <f>19.8/12</f>
        <v>1.6500000000000001</v>
      </c>
    </row>
    <row r="8" spans="2:16" ht="39.950000000000003" customHeight="1" x14ac:dyDescent="0.25">
      <c r="B8" s="13"/>
      <c r="C8" s="43" t="s">
        <v>164</v>
      </c>
      <c r="D8" s="43"/>
      <c r="E8" s="96" t="s">
        <v>194</v>
      </c>
      <c r="F8" s="93"/>
      <c r="G8" s="20"/>
      <c r="H8" s="43" t="s">
        <v>72</v>
      </c>
      <c r="I8" s="43"/>
      <c r="J8" s="93" t="s">
        <v>10</v>
      </c>
      <c r="K8" s="93"/>
      <c r="L8" s="8"/>
    </row>
    <row r="9" spans="2:16" ht="39.950000000000003" customHeight="1" x14ac:dyDescent="0.25">
      <c r="B9" s="13"/>
      <c r="C9" s="43" t="s">
        <v>4</v>
      </c>
      <c r="D9" s="43"/>
      <c r="E9" s="93" t="s">
        <v>195</v>
      </c>
      <c r="F9" s="93"/>
      <c r="G9" s="20"/>
      <c r="H9" s="43" t="s">
        <v>12</v>
      </c>
      <c r="I9" s="43"/>
      <c r="J9" s="93" t="s">
        <v>13</v>
      </c>
      <c r="K9" s="93"/>
      <c r="L9" s="8"/>
    </row>
    <row r="10" spans="2:16" ht="39.950000000000003" customHeight="1" x14ac:dyDescent="0.25">
      <c r="B10" s="13"/>
      <c r="C10" s="43" t="s">
        <v>196</v>
      </c>
      <c r="D10" s="43"/>
      <c r="E10" s="93" t="s">
        <v>198</v>
      </c>
      <c r="F10" s="93"/>
      <c r="G10" s="20"/>
      <c r="H10" s="45" t="s">
        <v>208</v>
      </c>
      <c r="I10" s="43"/>
      <c r="J10" s="93" t="s">
        <v>11</v>
      </c>
      <c r="K10" s="93"/>
      <c r="L10" s="8"/>
    </row>
    <row r="11" spans="2:16" ht="39.950000000000003" customHeight="1" thickBot="1" x14ac:dyDescent="0.3">
      <c r="B11" s="13"/>
      <c r="C11" s="17"/>
      <c r="D11" s="17"/>
      <c r="E11" s="94"/>
      <c r="F11" s="94"/>
      <c r="G11" s="20"/>
      <c r="H11" s="17"/>
      <c r="I11" s="17"/>
      <c r="J11" s="92"/>
      <c r="K11" s="92"/>
      <c r="L11" s="8"/>
    </row>
    <row r="12" spans="2:16" ht="30" customHeight="1" thickTop="1" x14ac:dyDescent="0.25">
      <c r="B12" s="14"/>
      <c r="C12" s="9"/>
      <c r="D12" s="10"/>
      <c r="E12" s="10"/>
      <c r="F12" s="10"/>
      <c r="G12" s="8"/>
      <c r="H12" s="9"/>
      <c r="I12" s="9"/>
      <c r="J12" s="10"/>
      <c r="K12" s="10"/>
      <c r="L12" s="8"/>
    </row>
    <row r="13" spans="2:16" ht="30" customHeight="1" x14ac:dyDescent="0.25">
      <c r="B13" s="14"/>
      <c r="C13" s="5" t="s">
        <v>16</v>
      </c>
      <c r="D13" s="5"/>
      <c r="E13" s="3"/>
      <c r="F13" s="3"/>
      <c r="G13" s="8"/>
      <c r="H13" s="5" t="str">
        <f>"Health status ("&amp;COUNTIFS(HealthReport!$L$29:$L$41, "&gt;0")&amp;" of "&amp;COUNTIFS(HealthReport!$H$29:$H$41, "&gt;0")&amp;")"</f>
        <v>Health status (0 of 0)</v>
      </c>
      <c r="I13" s="8"/>
      <c r="J13" s="8"/>
      <c r="K13" s="8"/>
      <c r="L13" s="8"/>
    </row>
    <row r="14" spans="2:16" ht="30" customHeight="1" x14ac:dyDescent="0.25">
      <c r="B14" s="14"/>
      <c r="C14" s="8"/>
      <c r="D14" s="18" t="s">
        <v>18</v>
      </c>
      <c r="E14" s="18" t="s">
        <v>44</v>
      </c>
      <c r="F14" s="18" t="s">
        <v>19</v>
      </c>
      <c r="G14" s="8"/>
      <c r="H14" s="8"/>
      <c r="I14" s="8"/>
      <c r="J14" s="8"/>
      <c r="K14" s="8"/>
      <c r="L14" s="8"/>
    </row>
    <row r="15" spans="2:16" ht="30" customHeight="1" x14ac:dyDescent="0.25">
      <c r="B15" s="14"/>
      <c r="C15" s="17" t="s">
        <v>232</v>
      </c>
      <c r="D15" s="6">
        <v>0</v>
      </c>
      <c r="E15" s="6">
        <v>1</v>
      </c>
      <c r="F15" s="6">
        <v>0</v>
      </c>
      <c r="G15" s="8"/>
      <c r="H15" s="8"/>
      <c r="I15" s="8"/>
      <c r="J15" s="8"/>
      <c r="K15" s="8"/>
      <c r="L15" s="8"/>
    </row>
    <row r="16" spans="2:16" ht="30" customHeight="1" x14ac:dyDescent="0.25">
      <c r="B16" s="14"/>
      <c r="C16" s="17" t="s">
        <v>233</v>
      </c>
      <c r="D16" s="6">
        <v>0</v>
      </c>
      <c r="E16" s="6">
        <v>0</v>
      </c>
      <c r="F16" s="6">
        <v>0</v>
      </c>
      <c r="G16" s="8"/>
      <c r="H16" s="8"/>
      <c r="I16" s="8"/>
      <c r="J16" s="8"/>
      <c r="K16" s="8"/>
      <c r="L16" s="8"/>
    </row>
    <row r="17" spans="2:12" ht="30" customHeight="1" x14ac:dyDescent="0.25">
      <c r="B17" s="14"/>
      <c r="C17" s="17" t="s">
        <v>235</v>
      </c>
      <c r="D17" s="6">
        <v>0</v>
      </c>
      <c r="E17" s="6">
        <v>0</v>
      </c>
      <c r="F17" s="6">
        <v>0</v>
      </c>
      <c r="G17" s="8"/>
      <c r="H17" s="8"/>
      <c r="I17" s="8"/>
      <c r="J17" s="8"/>
      <c r="K17" s="8"/>
      <c r="L17" s="8"/>
    </row>
    <row r="18" spans="2:12" ht="30" customHeight="1" x14ac:dyDescent="0.25">
      <c r="B18" s="14"/>
      <c r="C18" s="17" t="s">
        <v>236</v>
      </c>
      <c r="D18" s="6">
        <v>0</v>
      </c>
      <c r="E18" s="6">
        <v>0</v>
      </c>
      <c r="F18" s="6">
        <v>0</v>
      </c>
      <c r="G18" s="8"/>
      <c r="H18" s="8"/>
      <c r="I18" s="8"/>
      <c r="J18" s="8"/>
      <c r="K18" s="8"/>
      <c r="L18" s="8"/>
    </row>
    <row r="19" spans="2:12" ht="30" customHeight="1" x14ac:dyDescent="0.25">
      <c r="B19" s="14"/>
      <c r="C19" s="17" t="s">
        <v>228</v>
      </c>
      <c r="D19" s="6">
        <v>0</v>
      </c>
      <c r="E19" s="6">
        <v>0</v>
      </c>
      <c r="F19" s="6">
        <v>0</v>
      </c>
      <c r="G19" s="8"/>
      <c r="H19" s="8"/>
      <c r="I19" s="5"/>
      <c r="J19" s="8"/>
      <c r="K19" s="8"/>
      <c r="L19" s="8"/>
    </row>
    <row r="20" spans="2:12" ht="30" customHeight="1" x14ac:dyDescent="0.25">
      <c r="B20" s="14"/>
      <c r="C20" s="17" t="s">
        <v>229</v>
      </c>
      <c r="D20" s="6">
        <v>0</v>
      </c>
      <c r="E20" s="6">
        <v>0</v>
      </c>
      <c r="F20" s="6">
        <v>0</v>
      </c>
      <c r="G20" s="8"/>
      <c r="H20" s="8"/>
      <c r="I20" s="8"/>
      <c r="J20" s="8"/>
      <c r="K20" s="8"/>
      <c r="L20" s="8"/>
    </row>
    <row r="21" spans="2:12" ht="30" customHeight="1" x14ac:dyDescent="0.25">
      <c r="B21" s="14"/>
      <c r="C21" s="17" t="s">
        <v>230</v>
      </c>
      <c r="D21" s="6">
        <v>0</v>
      </c>
      <c r="E21" s="6">
        <v>0</v>
      </c>
      <c r="F21" s="6">
        <v>0</v>
      </c>
      <c r="G21" s="8"/>
      <c r="H21" s="8"/>
      <c r="I21" s="8"/>
      <c r="J21" s="8"/>
      <c r="K21" s="8"/>
      <c r="L21" s="8"/>
    </row>
    <row r="22" spans="2:12" ht="30" customHeight="1" x14ac:dyDescent="0.25">
      <c r="B22" s="14"/>
      <c r="C22" s="17" t="s">
        <v>231</v>
      </c>
      <c r="D22" s="6">
        <v>0</v>
      </c>
      <c r="E22" s="6">
        <v>0</v>
      </c>
      <c r="F22" s="6">
        <v>0</v>
      </c>
      <c r="G22" s="4"/>
      <c r="H22" s="8"/>
      <c r="I22" s="8"/>
      <c r="J22" s="8"/>
      <c r="K22" s="8"/>
      <c r="L22" s="8"/>
    </row>
    <row r="23" spans="2:12" ht="30" customHeight="1" x14ac:dyDescent="0.25">
      <c r="B23" s="14"/>
      <c r="C23" s="17" t="s">
        <v>234</v>
      </c>
      <c r="D23" s="6">
        <v>0</v>
      </c>
      <c r="E23" s="6">
        <v>0</v>
      </c>
      <c r="F23" s="6">
        <v>0</v>
      </c>
      <c r="G23" s="4"/>
      <c r="H23" s="8"/>
      <c r="I23" s="8"/>
      <c r="J23" s="8"/>
      <c r="K23" s="8"/>
      <c r="L23" s="8"/>
    </row>
    <row r="24" spans="2:12" ht="30" customHeight="1" x14ac:dyDescent="0.25">
      <c r="B24" s="14"/>
      <c r="C24" s="17" t="s">
        <v>17</v>
      </c>
      <c r="D24" s="6">
        <v>0</v>
      </c>
      <c r="E24" s="6">
        <v>0</v>
      </c>
      <c r="F24" s="6">
        <v>0</v>
      </c>
      <c r="G24" s="4"/>
      <c r="H24" s="8"/>
      <c r="I24" s="8"/>
      <c r="J24" s="8"/>
      <c r="K24" s="8"/>
      <c r="L24" s="8"/>
    </row>
    <row r="25" spans="2:12" ht="30" customHeight="1" thickBot="1" x14ac:dyDescent="0.3">
      <c r="B25" s="14"/>
      <c r="C25" s="12"/>
      <c r="D25" s="7"/>
      <c r="E25" s="7"/>
      <c r="F25" s="7"/>
      <c r="G25" s="4"/>
      <c r="H25" s="8"/>
      <c r="I25" s="8"/>
      <c r="J25" s="8"/>
      <c r="K25" s="8"/>
      <c r="L25" s="8"/>
    </row>
    <row r="26" spans="2:12" ht="30" customHeight="1" thickTop="1" x14ac:dyDescent="0.25">
      <c r="B26" s="14"/>
      <c r="C26" s="9"/>
      <c r="D26" s="10"/>
      <c r="E26" s="10"/>
      <c r="F26" s="10"/>
      <c r="G26" s="4"/>
      <c r="H26" s="8"/>
      <c r="I26" s="8"/>
      <c r="J26" s="8"/>
      <c r="K26" s="8"/>
      <c r="L26" s="8"/>
    </row>
    <row r="27" spans="2:12" ht="35.1" customHeight="1" x14ac:dyDescent="0.25">
      <c r="B27" s="14"/>
      <c r="C27" s="5" t="s">
        <v>21</v>
      </c>
      <c r="D27" s="14"/>
      <c r="E27" s="14"/>
      <c r="F27" s="14"/>
      <c r="G27" s="14"/>
      <c r="H27" s="14"/>
      <c r="I27" s="14"/>
      <c r="J27" s="14"/>
      <c r="K27" s="14"/>
      <c r="L27" s="14"/>
    </row>
    <row r="28" spans="2:12" ht="24.95" customHeight="1" thickBot="1" x14ac:dyDescent="0.3">
      <c r="B28" s="82" t="s">
        <v>22</v>
      </c>
      <c r="C28" s="83" t="s">
        <v>24</v>
      </c>
      <c r="D28" s="84" t="s">
        <v>30</v>
      </c>
      <c r="E28" s="83"/>
      <c r="F28" s="83" t="s">
        <v>31</v>
      </c>
      <c r="G28" s="85" t="s">
        <v>40</v>
      </c>
      <c r="H28" s="86" t="s">
        <v>23</v>
      </c>
      <c r="I28" s="82"/>
      <c r="J28" s="82"/>
      <c r="K28" s="87"/>
      <c r="L28" s="88">
        <f>SUM(HealthReport!$F$29:$F$41)/130</f>
        <v>0.52307692307692311</v>
      </c>
    </row>
    <row r="29" spans="2:12" ht="38.1" customHeight="1" thickTop="1" x14ac:dyDescent="0.25">
      <c r="B29" s="28">
        <v>1</v>
      </c>
      <c r="C29" s="29" t="s">
        <v>20</v>
      </c>
      <c r="D29" s="30" t="s">
        <v>41</v>
      </c>
      <c r="E29" s="31"/>
      <c r="F29" s="32">
        <v>10</v>
      </c>
      <c r="G29" s="62" t="str" cm="1">
        <f t="array" ref="G29">_xlfn.IFS(HealthReport!$F29&gt;=10,"PASS",HealthReport!$F29=8,"轻微",HealthReport!$F29=5,"普通",HealthReport!$F29=0,"重要")</f>
        <v>PASS</v>
      </c>
      <c r="H29" s="95"/>
      <c r="I29" s="95"/>
      <c r="J29" s="95"/>
      <c r="K29" s="95"/>
      <c r="L29" s="66" t="str">
        <f>HYPERLINK("#OS!B5","Detail")</f>
        <v>Detail</v>
      </c>
    </row>
    <row r="30" spans="2:12" ht="38.1" customHeight="1" x14ac:dyDescent="0.25">
      <c r="B30" s="33">
        <v>2</v>
      </c>
      <c r="C30" s="34" t="s">
        <v>25</v>
      </c>
      <c r="D30" s="35" t="s">
        <v>32</v>
      </c>
      <c r="E30" s="34"/>
      <c r="F30" s="36">
        <v>10</v>
      </c>
      <c r="G30" s="63" t="str" cm="1">
        <f t="array" ref="G30">_xlfn.IFS(HealthReport!$F30&gt;=10,"PASS",HealthReport!$F30=8,"轻微",HealthReport!$F30=5,"普通",HealthReport!$F30=0,"重要")</f>
        <v>PASS</v>
      </c>
      <c r="H30" s="90"/>
      <c r="I30" s="90"/>
      <c r="J30" s="90"/>
      <c r="K30" s="90"/>
      <c r="L30" s="67" t="str">
        <f>HYPERLINK("#OS!B5","Detail")</f>
        <v>Detail</v>
      </c>
    </row>
    <row r="31" spans="2:12" ht="38.1" customHeight="1" x14ac:dyDescent="0.25">
      <c r="B31" s="28">
        <v>3</v>
      </c>
      <c r="C31" s="31" t="s">
        <v>25</v>
      </c>
      <c r="D31" s="37" t="s">
        <v>42</v>
      </c>
      <c r="E31" s="31"/>
      <c r="F31" s="32">
        <v>10</v>
      </c>
      <c r="G31" s="62" t="str" cm="1">
        <f t="array" ref="G31">_xlfn.IFS(HealthReport!$F31&gt;=10,"PASS",HealthReport!$F31=8,"轻微",HealthReport!$F31=5,"普通",HealthReport!$F31=0,"重要")</f>
        <v>PASS</v>
      </c>
      <c r="H31" s="91"/>
      <c r="I31" s="91"/>
      <c r="J31" s="91"/>
      <c r="K31" s="91"/>
      <c r="L31" s="66" t="str">
        <f>HYPERLINK("#OS!B5","Detail")</f>
        <v>Detail</v>
      </c>
    </row>
    <row r="32" spans="2:12" ht="38.1" customHeight="1" x14ac:dyDescent="0.25">
      <c r="B32" s="33">
        <v>4</v>
      </c>
      <c r="C32" s="34" t="s">
        <v>25</v>
      </c>
      <c r="D32" s="35" t="s">
        <v>33</v>
      </c>
      <c r="E32" s="34"/>
      <c r="F32" s="36">
        <v>5</v>
      </c>
      <c r="G32" s="63" t="str" cm="1">
        <f t="array" ref="G32">_xlfn.IFS(HealthReport!$F32&gt;=10,"PASS",HealthReport!$F32=8,"轻微",HealthReport!$F32=5,"普通",HealthReport!$F32=0,"重要")</f>
        <v>普通</v>
      </c>
      <c r="H32" s="90"/>
      <c r="I32" s="90"/>
      <c r="J32" s="90"/>
      <c r="K32" s="90"/>
      <c r="L32" s="67" t="str">
        <f>HYPERLINK("#OS!B5","Detail")</f>
        <v>Detail</v>
      </c>
    </row>
    <row r="33" spans="2:12" ht="38.1" customHeight="1" x14ac:dyDescent="0.25">
      <c r="B33" s="28">
        <v>5</v>
      </c>
      <c r="C33" s="31" t="s">
        <v>25</v>
      </c>
      <c r="D33" s="37" t="s">
        <v>34</v>
      </c>
      <c r="E33" s="31"/>
      <c r="F33" s="32">
        <v>10</v>
      </c>
      <c r="G33" s="62" t="str" cm="1">
        <f t="array" ref="G33">_xlfn.IFS(HealthReport!$F33&gt;=10,"PASS",HealthReport!$F33=8,"轻微",HealthReport!$F33=5,"普通",HealthReport!$F33=0,"重要")</f>
        <v>PASS</v>
      </c>
      <c r="H33" s="91"/>
      <c r="I33" s="91"/>
      <c r="J33" s="91"/>
      <c r="K33" s="91"/>
      <c r="L33" s="66" t="str">
        <f t="shared" ref="L33:L41" si="0">HYPERLINK("#OS!A1","Detail")</f>
        <v>Detail</v>
      </c>
    </row>
    <row r="34" spans="2:12" ht="38.1" customHeight="1" x14ac:dyDescent="0.25">
      <c r="B34" s="33">
        <v>6</v>
      </c>
      <c r="C34" s="34" t="s">
        <v>25</v>
      </c>
      <c r="D34" s="35" t="s">
        <v>35</v>
      </c>
      <c r="E34" s="34"/>
      <c r="F34" s="36">
        <v>10</v>
      </c>
      <c r="G34" s="63" t="str" cm="1">
        <f t="array" ref="G34">_xlfn.IFS(HealthReport!$F34&gt;=10,"PASS",HealthReport!$F34=8,"轻微",HealthReport!$F34=5,"普通",HealthReport!$F34=0,"重要")</f>
        <v>PASS</v>
      </c>
      <c r="H34" s="90"/>
      <c r="I34" s="90"/>
      <c r="J34" s="90"/>
      <c r="K34" s="90"/>
      <c r="L34" s="67" t="str">
        <f t="shared" si="0"/>
        <v>Detail</v>
      </c>
    </row>
    <row r="35" spans="2:12" ht="38.1" customHeight="1" x14ac:dyDescent="0.25">
      <c r="B35" s="28">
        <v>7</v>
      </c>
      <c r="C35" s="31" t="s">
        <v>26</v>
      </c>
      <c r="D35" s="37" t="s">
        <v>36</v>
      </c>
      <c r="E35" s="31"/>
      <c r="F35" s="32">
        <v>8</v>
      </c>
      <c r="G35" s="62" t="str" cm="1">
        <f t="array" ref="G35">_xlfn.IFS(HealthReport!$F35&gt;=10,"PASS",HealthReport!$F35=8,"轻微",HealthReport!$F35=5,"普通",HealthReport!$F35=0,"重要")</f>
        <v>轻微</v>
      </c>
      <c r="H35" s="91"/>
      <c r="I35" s="91"/>
      <c r="J35" s="91"/>
      <c r="K35" s="91"/>
      <c r="L35" s="66" t="str">
        <f t="shared" si="0"/>
        <v>Detail</v>
      </c>
    </row>
    <row r="36" spans="2:12" ht="38.1" customHeight="1" x14ac:dyDescent="0.25">
      <c r="B36" s="33">
        <v>8</v>
      </c>
      <c r="C36" s="34" t="s">
        <v>26</v>
      </c>
      <c r="D36" s="35" t="s">
        <v>37</v>
      </c>
      <c r="E36" s="34"/>
      <c r="F36" s="36">
        <v>5</v>
      </c>
      <c r="G36" s="63" t="str" cm="1">
        <f t="array" ref="G36">_xlfn.IFS(HealthReport!$F36&gt;=10,"PASS",HealthReport!$F36=8,"轻微",HealthReport!$F36=5,"普通",HealthReport!$F36=0,"重要")</f>
        <v>普通</v>
      </c>
      <c r="H36" s="90"/>
      <c r="I36" s="90"/>
      <c r="J36" s="90"/>
      <c r="K36" s="90"/>
      <c r="L36" s="67" t="str">
        <f t="shared" si="0"/>
        <v>Detail</v>
      </c>
    </row>
    <row r="37" spans="2:12" ht="38.1" customHeight="1" x14ac:dyDescent="0.25">
      <c r="B37" s="28">
        <v>9</v>
      </c>
      <c r="C37" s="31" t="s">
        <v>26</v>
      </c>
      <c r="D37" s="37" t="s">
        <v>43</v>
      </c>
      <c r="E37" s="31"/>
      <c r="F37" s="32">
        <v>0</v>
      </c>
      <c r="G37" s="62" t="str" cm="1">
        <f t="array" ref="G37">_xlfn.IFS(HealthReport!$F37&gt;=10,"PASS",HealthReport!$F37=8,"轻微",HealthReport!$F37=5,"普通",HealthReport!$F37=0,"重要")</f>
        <v>重要</v>
      </c>
      <c r="H37" s="91"/>
      <c r="I37" s="91"/>
      <c r="J37" s="91"/>
      <c r="K37" s="91"/>
      <c r="L37" s="66" t="str">
        <f t="shared" si="0"/>
        <v>Detail</v>
      </c>
    </row>
    <row r="38" spans="2:12" ht="38.1" customHeight="1" x14ac:dyDescent="0.25">
      <c r="B38" s="33">
        <v>10</v>
      </c>
      <c r="C38" s="34" t="s">
        <v>26</v>
      </c>
      <c r="D38" s="35" t="s">
        <v>38</v>
      </c>
      <c r="E38" s="34"/>
      <c r="F38" s="36">
        <v>0</v>
      </c>
      <c r="G38" s="63" t="str" cm="1">
        <f t="array" ref="G38">_xlfn.IFS(HealthReport!$F38&gt;=10,"PASS",HealthReport!$F38=8,"轻微",HealthReport!$F38=5,"普通",HealthReport!$F38=0,"重要")</f>
        <v>重要</v>
      </c>
      <c r="H38" s="90"/>
      <c r="I38" s="90"/>
      <c r="J38" s="90"/>
      <c r="K38" s="90"/>
      <c r="L38" s="67" t="str">
        <f t="shared" si="0"/>
        <v>Detail</v>
      </c>
    </row>
    <row r="39" spans="2:12" ht="38.1" customHeight="1" x14ac:dyDescent="0.25">
      <c r="B39" s="28">
        <v>11</v>
      </c>
      <c r="C39" s="31" t="s">
        <v>29</v>
      </c>
      <c r="D39" s="37" t="s">
        <v>39</v>
      </c>
      <c r="E39" s="31"/>
      <c r="F39" s="32">
        <v>0</v>
      </c>
      <c r="G39" s="62" t="str" cm="1">
        <f t="array" ref="G39">_xlfn.IFS(HealthReport!$F39&gt;=10,"PASS",HealthReport!$F39=8,"轻微",HealthReport!$F39=5,"普通",HealthReport!$F39=0,"重要")</f>
        <v>重要</v>
      </c>
      <c r="H39" s="91"/>
      <c r="I39" s="91"/>
      <c r="J39" s="91"/>
      <c r="K39" s="91"/>
      <c r="L39" s="66" t="str">
        <f t="shared" si="0"/>
        <v>Detail</v>
      </c>
    </row>
    <row r="40" spans="2:12" ht="38.1" customHeight="1" x14ac:dyDescent="0.25">
      <c r="B40" s="33">
        <v>12</v>
      </c>
      <c r="C40" s="34" t="s">
        <v>28</v>
      </c>
      <c r="D40" s="35"/>
      <c r="E40" s="34"/>
      <c r="F40" s="36">
        <v>0</v>
      </c>
      <c r="G40" s="63" t="str" cm="1">
        <f t="array" ref="G40">_xlfn.IFS(HealthReport!$F40&gt;=10,"PASS",HealthReport!$F40=8,"轻微",HealthReport!$F40=5,"普通",HealthReport!$F40=0,"重要")</f>
        <v>重要</v>
      </c>
      <c r="H40" s="90"/>
      <c r="I40" s="90"/>
      <c r="J40" s="90"/>
      <c r="K40" s="90"/>
      <c r="L40" s="67" t="str">
        <f t="shared" si="0"/>
        <v>Detail</v>
      </c>
    </row>
    <row r="41" spans="2:12" ht="38.1" customHeight="1" x14ac:dyDescent="0.25">
      <c r="B41" s="15">
        <v>13</v>
      </c>
      <c r="C41" s="38" t="s">
        <v>27</v>
      </c>
      <c r="D41" s="37"/>
      <c r="E41" s="38"/>
      <c r="F41" s="39">
        <v>0</v>
      </c>
      <c r="G41" s="64" t="str" cm="1">
        <f t="array" ref="G41">_xlfn.IFS(HealthReport!$F41&gt;=10,"PASS",HealthReport!$F41=8,"轻微",HealthReport!$F41=5,"普通",HealthReport!$F41=0,"重要")</f>
        <v>重要</v>
      </c>
      <c r="H41" s="91" t="s">
        <v>163</v>
      </c>
      <c r="I41" s="91"/>
      <c r="J41" s="91"/>
      <c r="K41" s="91"/>
      <c r="L41" s="68" t="str">
        <f t="shared" si="0"/>
        <v>Detail</v>
      </c>
    </row>
    <row r="42" spans="2:12" ht="38.1" customHeight="1" x14ac:dyDescent="0.25">
      <c r="B42" s="33"/>
      <c r="C42" s="34"/>
      <c r="D42" s="35"/>
      <c r="E42" s="34"/>
      <c r="F42" s="36"/>
      <c r="G42" s="63"/>
      <c r="H42" s="90"/>
      <c r="I42" s="90"/>
      <c r="J42" s="90"/>
      <c r="K42" s="90"/>
      <c r="L42" s="67"/>
    </row>
    <row r="43" spans="2:12" ht="38.1" customHeight="1" x14ac:dyDescent="0.25">
      <c r="B43" s="15"/>
      <c r="C43" s="38"/>
      <c r="D43" s="37"/>
      <c r="E43" s="38"/>
      <c r="F43" s="39"/>
      <c r="G43" s="64"/>
      <c r="H43" s="91"/>
      <c r="I43" s="91"/>
      <c r="J43" s="91"/>
      <c r="K43" s="91"/>
      <c r="L43" s="68"/>
    </row>
    <row r="44" spans="2:12" ht="38.1" customHeight="1" x14ac:dyDescent="0.25">
      <c r="B44" s="33"/>
      <c r="C44" s="34"/>
      <c r="D44" s="35"/>
      <c r="E44" s="34"/>
      <c r="F44" s="36"/>
      <c r="G44" s="63"/>
      <c r="H44" s="90"/>
      <c r="I44" s="90"/>
      <c r="J44" s="90"/>
      <c r="K44" s="90"/>
      <c r="L44" s="67"/>
    </row>
    <row r="45" spans="2:12" ht="38.1" customHeight="1" x14ac:dyDescent="0.25">
      <c r="B45" s="15"/>
      <c r="C45" s="38"/>
      <c r="D45" s="37"/>
      <c r="E45" s="38"/>
      <c r="F45" s="39"/>
      <c r="G45" s="64"/>
      <c r="H45" s="91"/>
      <c r="I45" s="91"/>
      <c r="J45" s="91"/>
      <c r="K45" s="91"/>
      <c r="L45" s="68"/>
    </row>
    <row r="46" spans="2:12" ht="38.1" customHeight="1" x14ac:dyDescent="0.25">
      <c r="B46" s="65"/>
      <c r="C46" s="65"/>
      <c r="D46" s="65"/>
      <c r="E46" s="65"/>
      <c r="F46" s="65"/>
      <c r="G46" s="65"/>
      <c r="H46" s="90"/>
      <c r="I46" s="90"/>
      <c r="J46" s="90"/>
      <c r="K46" s="90"/>
      <c r="L46" s="69"/>
    </row>
    <row r="47" spans="2:12" ht="30" customHeight="1" x14ac:dyDescent="0.25">
      <c r="B47" s="15"/>
      <c r="C47" s="38"/>
      <c r="D47" s="37"/>
      <c r="E47" s="38"/>
      <c r="F47" s="39"/>
      <c r="G47" s="64"/>
      <c r="H47" s="91"/>
      <c r="I47" s="91"/>
      <c r="J47" s="91"/>
      <c r="K47" s="91"/>
      <c r="L47" s="68"/>
    </row>
    <row r="48" spans="2:12" ht="30" customHeight="1" x14ac:dyDescent="0.25">
      <c r="B48" s="33"/>
      <c r="C48" s="34"/>
      <c r="D48" s="35"/>
      <c r="E48" s="34"/>
      <c r="F48" s="36"/>
      <c r="G48" s="63"/>
      <c r="H48" s="90"/>
      <c r="I48" s="90"/>
      <c r="J48" s="90"/>
      <c r="K48" s="90"/>
      <c r="L48" s="67"/>
    </row>
    <row r="49" spans="2:12" ht="30" customHeight="1" x14ac:dyDescent="0.25">
      <c r="B49" s="15"/>
      <c r="C49" s="38"/>
      <c r="D49" s="37"/>
      <c r="E49" s="38"/>
      <c r="F49" s="39"/>
      <c r="G49" s="64"/>
      <c r="H49" s="91"/>
      <c r="I49" s="91"/>
      <c r="J49" s="91"/>
      <c r="K49" s="91"/>
      <c r="L49" s="68"/>
    </row>
    <row r="50" spans="2:12" ht="30" customHeight="1" x14ac:dyDescent="0.25">
      <c r="B50" s="65"/>
      <c r="C50" s="65"/>
      <c r="D50" s="65"/>
      <c r="E50" s="65"/>
      <c r="F50" s="65"/>
      <c r="G50" s="65"/>
      <c r="H50" s="90"/>
      <c r="I50" s="90"/>
      <c r="J50" s="90"/>
      <c r="K50" s="90"/>
      <c r="L50" s="69"/>
    </row>
    <row r="51" spans="2:12" ht="30" customHeight="1" x14ac:dyDescent="0.25">
      <c r="B51" s="15"/>
      <c r="C51" s="38"/>
      <c r="D51" s="37"/>
      <c r="E51" s="38"/>
      <c r="F51" s="39"/>
      <c r="G51" s="64"/>
      <c r="H51" s="91"/>
      <c r="I51" s="91"/>
      <c r="J51" s="91"/>
      <c r="K51" s="91"/>
      <c r="L51" s="68"/>
    </row>
    <row r="52" spans="2:12" ht="30" customHeight="1" x14ac:dyDescent="0.25">
      <c r="B52" s="33"/>
      <c r="C52" s="34"/>
      <c r="D52" s="35"/>
      <c r="E52" s="34"/>
      <c r="F52" s="36"/>
      <c r="G52" s="63"/>
      <c r="H52" s="90"/>
      <c r="I52" s="90"/>
      <c r="J52" s="90"/>
      <c r="K52" s="90"/>
      <c r="L52" s="67"/>
    </row>
    <row r="53" spans="2:12" ht="30" customHeight="1" x14ac:dyDescent="0.25">
      <c r="B53" s="15"/>
      <c r="C53" s="38"/>
      <c r="D53" s="37"/>
      <c r="E53" s="38"/>
      <c r="F53" s="39"/>
      <c r="G53" s="64"/>
      <c r="H53" s="91"/>
      <c r="I53" s="91"/>
      <c r="J53" s="91"/>
      <c r="K53" s="91"/>
      <c r="L53" s="68"/>
    </row>
    <row r="54" spans="2:12" ht="30" customHeight="1" x14ac:dyDescent="0.25">
      <c r="B54" s="65"/>
      <c r="C54" s="65"/>
      <c r="D54" s="65"/>
      <c r="E54" s="65"/>
      <c r="F54" s="65"/>
      <c r="G54" s="65"/>
      <c r="H54" s="90"/>
      <c r="I54" s="90"/>
      <c r="J54" s="90"/>
      <c r="K54" s="90"/>
      <c r="L54" s="69"/>
    </row>
    <row r="55" spans="2:12" ht="30" customHeight="1" x14ac:dyDescent="0.25">
      <c r="B55" s="15"/>
      <c r="C55" s="38"/>
      <c r="D55" s="37"/>
      <c r="E55" s="38"/>
      <c r="F55" s="39"/>
      <c r="G55" s="64"/>
      <c r="H55" s="91"/>
      <c r="I55" s="91"/>
      <c r="J55" s="91"/>
      <c r="K55" s="91"/>
      <c r="L55" s="68"/>
    </row>
    <row r="56" spans="2:12" ht="30" customHeight="1" x14ac:dyDescent="0.25">
      <c r="B56" s="33"/>
      <c r="C56" s="34"/>
      <c r="D56" s="35"/>
      <c r="E56" s="34"/>
      <c r="F56" s="36"/>
      <c r="G56" s="63"/>
      <c r="H56" s="90"/>
      <c r="I56" s="90"/>
      <c r="J56" s="90"/>
      <c r="K56" s="90"/>
      <c r="L56" s="67"/>
    </row>
    <row r="57" spans="2:12" ht="30" customHeight="1" x14ac:dyDescent="0.25">
      <c r="B57" s="15"/>
      <c r="C57" s="38"/>
      <c r="D57" s="37"/>
      <c r="E57" s="38"/>
      <c r="F57" s="39"/>
      <c r="G57" s="64"/>
      <c r="H57" s="91"/>
      <c r="I57" s="91"/>
      <c r="J57" s="91"/>
      <c r="K57" s="91"/>
      <c r="L57" s="68"/>
    </row>
    <row r="58" spans="2:12" ht="30" customHeight="1" x14ac:dyDescent="0.25">
      <c r="B58" s="65"/>
      <c r="C58" s="65"/>
      <c r="D58" s="65"/>
      <c r="E58" s="65"/>
      <c r="F58" s="65"/>
      <c r="G58" s="65"/>
      <c r="H58" s="90"/>
      <c r="I58" s="90"/>
      <c r="J58" s="90"/>
      <c r="K58" s="90"/>
      <c r="L58" s="69"/>
    </row>
    <row r="59" spans="2:12" ht="30" customHeight="1" x14ac:dyDescent="0.25">
      <c r="B59" s="15"/>
      <c r="C59" s="38"/>
      <c r="D59" s="37"/>
      <c r="E59" s="38"/>
      <c r="F59" s="39"/>
      <c r="G59" s="64"/>
      <c r="H59" s="91"/>
      <c r="I59" s="91"/>
      <c r="J59" s="91"/>
      <c r="K59" s="91"/>
      <c r="L59" s="68"/>
    </row>
    <row r="60" spans="2:12" ht="30" customHeight="1" x14ac:dyDescent="0.25">
      <c r="B60" s="33"/>
      <c r="C60" s="34"/>
      <c r="D60" s="35"/>
      <c r="E60" s="34"/>
      <c r="F60" s="36"/>
      <c r="G60" s="63"/>
      <c r="H60" s="90"/>
      <c r="I60" s="90"/>
      <c r="J60" s="90"/>
      <c r="K60" s="90"/>
      <c r="L60" s="67"/>
    </row>
    <row r="61" spans="2:12" ht="30" customHeight="1" x14ac:dyDescent="0.25">
      <c r="B61" s="15"/>
      <c r="C61" s="38"/>
      <c r="D61" s="37"/>
      <c r="E61" s="38"/>
      <c r="F61" s="39"/>
      <c r="G61" s="64"/>
      <c r="H61" s="91"/>
      <c r="I61" s="91"/>
      <c r="J61" s="91"/>
      <c r="K61" s="91"/>
      <c r="L61" s="68"/>
    </row>
    <row r="62" spans="2:12" ht="30" customHeight="1" x14ac:dyDescent="0.25">
      <c r="B62" s="65"/>
      <c r="C62" s="65"/>
      <c r="D62" s="65"/>
      <c r="E62" s="65"/>
      <c r="F62" s="65"/>
      <c r="G62" s="65"/>
      <c r="H62" s="90"/>
      <c r="I62" s="90"/>
      <c r="J62" s="90"/>
      <c r="K62" s="90"/>
      <c r="L62" s="69"/>
    </row>
  </sheetData>
  <dataConsolidate/>
  <mergeCells count="50">
    <mergeCell ref="H46:K46"/>
    <mergeCell ref="H43:K43"/>
    <mergeCell ref="H45:K45"/>
    <mergeCell ref="H34:K34"/>
    <mergeCell ref="H36:K36"/>
    <mergeCell ref="H38:K38"/>
    <mergeCell ref="H40:K40"/>
    <mergeCell ref="H42:K42"/>
    <mergeCell ref="H44:K44"/>
    <mergeCell ref="H33:K33"/>
    <mergeCell ref="H35:K35"/>
    <mergeCell ref="H37:K37"/>
    <mergeCell ref="H39:K39"/>
    <mergeCell ref="H41:K41"/>
    <mergeCell ref="E8:F8"/>
    <mergeCell ref="J8:K8"/>
    <mergeCell ref="J9:K9"/>
    <mergeCell ref="J10:K10"/>
    <mergeCell ref="J4:K4"/>
    <mergeCell ref="J5:K5"/>
    <mergeCell ref="J6:K6"/>
    <mergeCell ref="J7:K7"/>
    <mergeCell ref="E4:F4"/>
    <mergeCell ref="E5:F5"/>
    <mergeCell ref="E6:F6"/>
    <mergeCell ref="E7:F7"/>
    <mergeCell ref="J11:K11"/>
    <mergeCell ref="H32:K32"/>
    <mergeCell ref="E9:F9"/>
    <mergeCell ref="E10:F10"/>
    <mergeCell ref="E11:F11"/>
    <mergeCell ref="H29:K29"/>
    <mergeCell ref="H30:K30"/>
    <mergeCell ref="H31:K31"/>
    <mergeCell ref="H52:K52"/>
    <mergeCell ref="H53:K53"/>
    <mergeCell ref="H54:K54"/>
    <mergeCell ref="H47:K47"/>
    <mergeCell ref="H48:K48"/>
    <mergeCell ref="H49:K49"/>
    <mergeCell ref="H50:K50"/>
    <mergeCell ref="H51:K51"/>
    <mergeCell ref="H60:K60"/>
    <mergeCell ref="H61:K61"/>
    <mergeCell ref="H62:K62"/>
    <mergeCell ref="H55:K55"/>
    <mergeCell ref="H56:K56"/>
    <mergeCell ref="H57:K57"/>
    <mergeCell ref="H58:K58"/>
    <mergeCell ref="H59:K59"/>
  </mergeCells>
  <phoneticPr fontId="14" type="noConversion"/>
  <conditionalFormatting sqref="B13:B27">
    <cfRule type="notContainsBlanks" dxfId="8" priority="63">
      <formula>LEN(TRIM(B13))&gt;0</formula>
    </cfRule>
  </conditionalFormatting>
  <conditionalFormatting sqref="B14:C14">
    <cfRule type="notContainsBlanks" dxfId="7" priority="64">
      <formula>LEN(TRIM(B14))&gt;0</formula>
    </cfRule>
  </conditionalFormatting>
  <conditionalFormatting sqref="B12:L12 J13:L19 H19 H20:L26">
    <cfRule type="notContainsBlanks" dxfId="6" priority="77">
      <formula>LEN(TRIM(B12))&gt;0</formula>
    </cfRule>
  </conditionalFormatting>
  <conditionalFormatting sqref="D27:L27">
    <cfRule type="notContainsBlanks" dxfId="5" priority="1">
      <formula>LEN(TRIM(D27))&gt;0</formula>
    </cfRule>
  </conditionalFormatting>
  <conditionalFormatting sqref="G8:G11 G13:G21">
    <cfRule type="notContainsBlanks" dxfId="4" priority="78">
      <formula>LEN(TRIM(G8))&gt;0</formula>
    </cfRule>
  </conditionalFormatting>
  <conditionalFormatting sqref="H14:H15">
    <cfRule type="notContainsBlanks" dxfId="3" priority="70">
      <formula>LEN(TRIM(H14))&gt;0</formula>
    </cfRule>
  </conditionalFormatting>
  <conditionalFormatting sqref="H16:I18">
    <cfRule type="notContainsBlanks" dxfId="2" priority="76">
      <formula>LEN(TRIM(H16))&gt;0</formula>
    </cfRule>
  </conditionalFormatting>
  <conditionalFormatting sqref="I13:I15">
    <cfRule type="notContainsBlanks" dxfId="1" priority="67">
      <formula>LEN(TRIM(I13))&gt;0</formula>
    </cfRule>
  </conditionalFormatting>
  <conditionalFormatting sqref="L4:L11 P7">
    <cfRule type="notContainsBlanks" dxfId="0" priority="79">
      <formula>LEN(TRIM(L4))&gt;0</formula>
    </cfRule>
  </conditionalFormatting>
  <dataValidations xWindow="250" yWindow="706" count="12">
    <dataValidation allowBlank="1" showInputMessage="1" showErrorMessage="1" prompt="Enter Budget in cell C5. Shopping List Total in cell C6 and Remaining Cash in cell C7 are automatically calculated based on entries in Checklist table" sqref="C13:D14 E12:F14" xr:uid="{00000000-0002-0000-0000-000001000000}"/>
    <dataValidation allowBlank="1" showInputMessage="1" showErrorMessage="1" prompt="Enter Budget in cell at right" sqref="C15 C20" xr:uid="{00000000-0002-0000-0000-000002000000}"/>
    <dataValidation allowBlank="1" showInputMessage="1" showErrorMessage="1" prompt="Shopping List Total is automatically calculated in cell at right" sqref="C16:C18 C21" xr:uid="{00000000-0002-0000-0000-000003000000}"/>
    <dataValidation allowBlank="1" showInputMessage="1" showErrorMessage="1" prompt="Shopping List Total is automatically calculated in this cell" sqref="D21:F21 D16:F18" xr:uid="{00000000-0002-0000-0000-000004000000}"/>
    <dataValidation allowBlank="1" showInputMessage="1" showErrorMessage="1" prompt="Enter Budget in this cell" sqref="D20:F20 D15:F15" xr:uid="{00000000-0002-0000-0000-000005000000}"/>
    <dataValidation allowBlank="1" showInputMessage="1" showErrorMessage="1" prompt="Remaining Cash is automatically calculated in cell at right" sqref="C12 C22:C26 H12:I12 C19" xr:uid="{00000000-0002-0000-0000-000006000000}"/>
    <dataValidation allowBlank="1" showInputMessage="1" showErrorMessage="1" prompt="Remaining Cash is automatically calculated in this cell" sqref="F12 D19:F19 D12:E12 D22:F26 J12:K12" xr:uid="{00000000-0002-0000-0000-000007000000}"/>
    <dataValidation allowBlank="1" showInputMessage="1" showErrorMessage="1" prompt="Purchasing Progress bar is in cells E5 through H7" sqref="P7 H12:I12 J12:L26 C12:F12 L4:L11 H20:I26 H19 H13 H14:I14 H16:I18 H15 G12:G21" xr:uid="{00000000-0002-0000-0000-000009000000}"/>
    <dataValidation allowBlank="1" showInputMessage="1" showErrorMessage="1" prompt="Enter Shopping details in table below. Category list is automatically updated from Category table" sqref="C27" xr:uid="{00000000-0002-0000-0000-00000A000000}"/>
    <dataValidation allowBlank="1" showInputMessage="1" showErrorMessage="1" prompt="Purchasing Progress bar is in cells below" sqref="H13" xr:uid="{00000000-0002-0000-0000-000008000000}"/>
    <dataValidation type="list" allowBlank="1" showInputMessage="1" showErrorMessage="1" sqref="C29:C41" xr:uid="{9A7EB216-EA1D-4A3D-B9E3-20B91A83DBC8}">
      <formula1>$C$15:$C$24</formula1>
    </dataValidation>
    <dataValidation errorStyle="warning" allowBlank="1" showInputMessage="1" showErrorMessage="1" error="Select Category from the list. Enter new categories in Category worksheet. Select CANCEL, then press ALT+DOWN ARROW for options, then DOWN ARROW and ENTER to make selection" sqref="D29:E41" xr:uid="{00000000-0002-0000-0000-000013000000}"/>
  </dataValidations>
  <printOptions horizontalCentered="1"/>
  <pageMargins left="0.7" right="0.7" top="0.75" bottom="0.75" header="0.3" footer="0.3"/>
  <pageSetup scale="58" fitToHeight="0" orientation="portrait" r:id="rId1"/>
  <headerFooter differentFirst="1">
    <oddFooter>Page &amp;P of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0" id="{3AD485F5-512A-4830-BA74-F6B14C2FEF34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B46:C46</xm:sqref>
        </x14:conditionalFormatting>
        <x14:conditionalFormatting xmlns:xm="http://schemas.microsoft.com/office/excel/2006/main">
          <x14:cfRule type="iconSet" priority="39" id="{0F123DC0-E9CB-494F-9537-5267D0443334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B50:C50</xm:sqref>
        </x14:conditionalFormatting>
        <x14:conditionalFormatting xmlns:xm="http://schemas.microsoft.com/office/excel/2006/main">
          <x14:cfRule type="iconSet" priority="28" id="{C75CBC66-D7CA-4A28-8777-654881069477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B54:C54</xm:sqref>
        </x14:conditionalFormatting>
        <x14:conditionalFormatting xmlns:xm="http://schemas.microsoft.com/office/excel/2006/main">
          <x14:cfRule type="iconSet" priority="17" id="{88ED8CEC-2FA2-43DA-8ADA-0BDBE1D94E7F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B58:C58</xm:sqref>
        </x14:conditionalFormatting>
        <x14:conditionalFormatting xmlns:xm="http://schemas.microsoft.com/office/excel/2006/main">
          <x14:cfRule type="iconSet" priority="6" id="{18D66B4D-9470-4F8E-B72C-CD2C03C24492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B62:C62</xm:sqref>
        </x14:conditionalFormatting>
        <x14:conditionalFormatting xmlns:xm="http://schemas.microsoft.com/office/excel/2006/main">
          <x14:cfRule type="iconSet" priority="49" id="{42B44E61-BD45-4B3B-A366-60DC3FA6E891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D46</xm:sqref>
        </x14:conditionalFormatting>
        <x14:conditionalFormatting xmlns:xm="http://schemas.microsoft.com/office/excel/2006/main">
          <x14:cfRule type="iconSet" priority="38" id="{14B6D97C-3FC8-4777-B197-85596580A20F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D50</xm:sqref>
        </x14:conditionalFormatting>
        <x14:conditionalFormatting xmlns:xm="http://schemas.microsoft.com/office/excel/2006/main">
          <x14:cfRule type="iconSet" priority="27" id="{2B77CF01-0B59-4A94-968C-F819B9BFC886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D54</xm:sqref>
        </x14:conditionalFormatting>
        <x14:conditionalFormatting xmlns:xm="http://schemas.microsoft.com/office/excel/2006/main">
          <x14:cfRule type="iconSet" priority="16" id="{6A110090-049C-450A-84FF-B5C33643E19C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D58</xm:sqref>
        </x14:conditionalFormatting>
        <x14:conditionalFormatting xmlns:xm="http://schemas.microsoft.com/office/excel/2006/main">
          <x14:cfRule type="iconSet" priority="5" id="{23025D6F-F171-4B0A-A495-741EF450595B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D62</xm:sqref>
        </x14:conditionalFormatting>
        <x14:conditionalFormatting xmlns:xm="http://schemas.microsoft.com/office/excel/2006/main">
          <x14:cfRule type="iconSet" priority="48" id="{9AE0B0A0-31AC-419A-8920-AF3FF686551C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E46</xm:sqref>
        </x14:conditionalFormatting>
        <x14:conditionalFormatting xmlns:xm="http://schemas.microsoft.com/office/excel/2006/main">
          <x14:cfRule type="iconSet" priority="37" id="{BAA9148E-4C74-4C1C-A14C-98B823C60A38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E50</xm:sqref>
        </x14:conditionalFormatting>
        <x14:conditionalFormatting xmlns:xm="http://schemas.microsoft.com/office/excel/2006/main">
          <x14:cfRule type="iconSet" priority="26" id="{A442FCE3-8944-4D53-8BFE-78C12683D968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E54</xm:sqref>
        </x14:conditionalFormatting>
        <x14:conditionalFormatting xmlns:xm="http://schemas.microsoft.com/office/excel/2006/main">
          <x14:cfRule type="iconSet" priority="15" id="{085671F5-C388-48EA-B946-69A906653317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E58</xm:sqref>
        </x14:conditionalFormatting>
        <x14:conditionalFormatting xmlns:xm="http://schemas.microsoft.com/office/excel/2006/main">
          <x14:cfRule type="iconSet" priority="4" id="{1CCBB599-0F02-4566-B4CA-822394CA31B8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E62</xm:sqref>
        </x14:conditionalFormatting>
        <x14:conditionalFormatting xmlns:xm="http://schemas.microsoft.com/office/excel/2006/main">
          <x14:cfRule type="iconSet" priority="61" id="{D7E11CA3-AE2E-4AE0-8760-69AFD47E19CB}">
            <x14:iconSet iconSet="3Symbols" showValue="0" custom="1">
              <x14:cfvo type="percent">
                <xm:f>0</xm:f>
              </x14:cfvo>
              <x14:cfvo type="num">
                <xm:f>5</xm:f>
              </x14:cfvo>
              <x14:cfvo type="num">
                <xm:f>8</xm:f>
              </x14:cfvo>
              <x14:cfIcon iconSet="3Symbols" iconId="0"/>
              <x14:cfIcon iconSet="3Flags" iconId="0"/>
              <x14:cfIcon iconSet="3Symbols" iconId="1"/>
            </x14:iconSet>
          </x14:cfRule>
          <xm:sqref>F29:F45</xm:sqref>
        </x14:conditionalFormatting>
        <x14:conditionalFormatting xmlns:xm="http://schemas.microsoft.com/office/excel/2006/main">
          <x14:cfRule type="iconSet" priority="47" id="{3D962523-5725-48F8-9A20-D1500F15E2BB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F46</xm:sqref>
        </x14:conditionalFormatting>
        <x14:conditionalFormatting xmlns:xm="http://schemas.microsoft.com/office/excel/2006/main">
          <x14:cfRule type="iconSet" priority="44" id="{385FA039-B741-4960-9F2A-71D6C39C50C7}">
            <x14:iconSet iconSet="3Symbols" showValue="0" custom="1">
              <x14:cfvo type="percent">
                <xm:f>0</xm:f>
              </x14:cfvo>
              <x14:cfvo type="num">
                <xm:f>5</xm:f>
              </x14:cfvo>
              <x14:cfvo type="num">
                <xm:f>8</xm:f>
              </x14:cfvo>
              <x14:cfIcon iconSet="3Symbols" iconId="0"/>
              <x14:cfIcon iconSet="3Flags" iconId="0"/>
              <x14:cfIcon iconSet="3Symbols" iconId="1"/>
            </x14:iconSet>
          </x14:cfRule>
          <xm:sqref>F47:F49</xm:sqref>
        </x14:conditionalFormatting>
        <x14:conditionalFormatting xmlns:xm="http://schemas.microsoft.com/office/excel/2006/main">
          <x14:cfRule type="iconSet" priority="36" id="{CCF709D9-2591-4DAA-9315-C7A0355D6EA8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F50</xm:sqref>
        </x14:conditionalFormatting>
        <x14:conditionalFormatting xmlns:xm="http://schemas.microsoft.com/office/excel/2006/main">
          <x14:cfRule type="iconSet" priority="33" id="{EE2C29C5-1120-417B-89C1-A4074EDF4D05}">
            <x14:iconSet iconSet="3Symbols" showValue="0" custom="1">
              <x14:cfvo type="percent">
                <xm:f>0</xm:f>
              </x14:cfvo>
              <x14:cfvo type="num">
                <xm:f>5</xm:f>
              </x14:cfvo>
              <x14:cfvo type="num">
                <xm:f>8</xm:f>
              </x14:cfvo>
              <x14:cfIcon iconSet="3Symbols" iconId="0"/>
              <x14:cfIcon iconSet="3Flags" iconId="0"/>
              <x14:cfIcon iconSet="3Symbols" iconId="1"/>
            </x14:iconSet>
          </x14:cfRule>
          <xm:sqref>F51:F53</xm:sqref>
        </x14:conditionalFormatting>
        <x14:conditionalFormatting xmlns:xm="http://schemas.microsoft.com/office/excel/2006/main">
          <x14:cfRule type="iconSet" priority="25" id="{382D81D0-7236-4E93-AC9C-80DF5A6DE10A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F54</xm:sqref>
        </x14:conditionalFormatting>
        <x14:conditionalFormatting xmlns:xm="http://schemas.microsoft.com/office/excel/2006/main">
          <x14:cfRule type="iconSet" priority="22" id="{2E2DF39E-FCE4-494D-9ED5-2A48DAC77F81}">
            <x14:iconSet iconSet="3Symbols" showValue="0" custom="1">
              <x14:cfvo type="percent">
                <xm:f>0</xm:f>
              </x14:cfvo>
              <x14:cfvo type="num">
                <xm:f>5</xm:f>
              </x14:cfvo>
              <x14:cfvo type="num">
                <xm:f>8</xm:f>
              </x14:cfvo>
              <x14:cfIcon iconSet="3Symbols" iconId="0"/>
              <x14:cfIcon iconSet="3Flags" iconId="0"/>
              <x14:cfIcon iconSet="3Symbols" iconId="1"/>
            </x14:iconSet>
          </x14:cfRule>
          <xm:sqref>F55:F57</xm:sqref>
        </x14:conditionalFormatting>
        <x14:conditionalFormatting xmlns:xm="http://schemas.microsoft.com/office/excel/2006/main">
          <x14:cfRule type="iconSet" priority="14" id="{88EB00A5-156B-492D-85CB-0C5859CC38ED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F58</xm:sqref>
        </x14:conditionalFormatting>
        <x14:conditionalFormatting xmlns:xm="http://schemas.microsoft.com/office/excel/2006/main">
          <x14:cfRule type="iconSet" priority="11" id="{330F031B-0D20-423C-A87C-02662C42927C}">
            <x14:iconSet iconSet="3Symbols" showValue="0" custom="1">
              <x14:cfvo type="percent">
                <xm:f>0</xm:f>
              </x14:cfvo>
              <x14:cfvo type="num">
                <xm:f>5</xm:f>
              </x14:cfvo>
              <x14:cfvo type="num">
                <xm:f>8</xm:f>
              </x14:cfvo>
              <x14:cfIcon iconSet="3Symbols" iconId="0"/>
              <x14:cfIcon iconSet="3Flags" iconId="0"/>
              <x14:cfIcon iconSet="3Symbols" iconId="1"/>
            </x14:iconSet>
          </x14:cfRule>
          <xm:sqref>F59:F61</xm:sqref>
        </x14:conditionalFormatting>
        <x14:conditionalFormatting xmlns:xm="http://schemas.microsoft.com/office/excel/2006/main">
          <x14:cfRule type="iconSet" priority="3" id="{2F58AE20-A011-429D-A34F-429BFA1C9011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F62</xm:sqref>
        </x14:conditionalFormatting>
        <x14:conditionalFormatting xmlns:xm="http://schemas.microsoft.com/office/excel/2006/main">
          <x14:cfRule type="iconSet" priority="52" id="{EC29932F-78D6-4AC8-9D56-2F5F67B5688C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G46</xm:sqref>
        </x14:conditionalFormatting>
        <x14:conditionalFormatting xmlns:xm="http://schemas.microsoft.com/office/excel/2006/main">
          <x14:cfRule type="iconSet" priority="40" id="{DEE3C81E-B484-4A72-9E13-E137E9862E3F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G50</xm:sqref>
        </x14:conditionalFormatting>
        <x14:conditionalFormatting xmlns:xm="http://schemas.microsoft.com/office/excel/2006/main">
          <x14:cfRule type="iconSet" priority="29" id="{9D2BC978-9B76-40DC-BBE3-4FE422176FDC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G54</xm:sqref>
        </x14:conditionalFormatting>
        <x14:conditionalFormatting xmlns:xm="http://schemas.microsoft.com/office/excel/2006/main">
          <x14:cfRule type="iconSet" priority="18" id="{2280D9D6-E10D-49C5-818E-A0E3B04DBFB6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G58</xm:sqref>
        </x14:conditionalFormatting>
        <x14:conditionalFormatting xmlns:xm="http://schemas.microsoft.com/office/excel/2006/main">
          <x14:cfRule type="iconSet" priority="7" id="{64445DF7-6492-4705-84DA-BB6A157D4154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G62</xm:sqref>
        </x14:conditionalFormatting>
        <x14:conditionalFormatting xmlns:xm="http://schemas.microsoft.com/office/excel/2006/main">
          <x14:cfRule type="iconSet" priority="186" id="{904FC827-5D32-400A-97DB-D891D8D2E589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H29:H42</xm:sqref>
        </x14:conditionalFormatting>
        <x14:conditionalFormatting xmlns:xm="http://schemas.microsoft.com/office/excel/2006/main">
          <x14:cfRule type="iconSet" priority="56" id="{63B576F9-8DAA-41CF-AE73-5AB45F4F4032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H43</xm:sqref>
        </x14:conditionalFormatting>
        <x14:conditionalFormatting xmlns:xm="http://schemas.microsoft.com/office/excel/2006/main">
          <x14:cfRule type="iconSet" priority="54" id="{26C2D381-0C21-4A34-BF51-D0D70A2BBE5D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H44</xm:sqref>
        </x14:conditionalFormatting>
        <x14:conditionalFormatting xmlns:xm="http://schemas.microsoft.com/office/excel/2006/main">
          <x14:cfRule type="iconSet" priority="55" id="{6416AA23-656B-4E60-B17B-E9CCF66906E3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H45</xm:sqref>
        </x14:conditionalFormatting>
        <x14:conditionalFormatting xmlns:xm="http://schemas.microsoft.com/office/excel/2006/main">
          <x14:cfRule type="iconSet" priority="46" id="{55F288BA-48B1-4F42-A62E-AAE73E9A550A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H46</xm:sqref>
        </x14:conditionalFormatting>
        <x14:conditionalFormatting xmlns:xm="http://schemas.microsoft.com/office/excel/2006/main">
          <x14:cfRule type="iconSet" priority="43" id="{E30994DE-231B-4B68-996D-3E763907FA3C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H47</xm:sqref>
        </x14:conditionalFormatting>
        <x14:conditionalFormatting xmlns:xm="http://schemas.microsoft.com/office/excel/2006/main">
          <x14:cfRule type="iconSet" priority="41" id="{5729C3FD-9889-4497-A536-FFF0436A57F1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H48</xm:sqref>
        </x14:conditionalFormatting>
        <x14:conditionalFormatting xmlns:xm="http://schemas.microsoft.com/office/excel/2006/main">
          <x14:cfRule type="iconSet" priority="42" id="{40AFAEA4-3FCA-4567-9EEA-1BB8BD606A55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H49</xm:sqref>
        </x14:conditionalFormatting>
        <x14:conditionalFormatting xmlns:xm="http://schemas.microsoft.com/office/excel/2006/main">
          <x14:cfRule type="iconSet" priority="35" id="{893EE127-E4CD-4D52-A058-33508E1A8A65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H50</xm:sqref>
        </x14:conditionalFormatting>
        <x14:conditionalFormatting xmlns:xm="http://schemas.microsoft.com/office/excel/2006/main">
          <x14:cfRule type="iconSet" priority="32" id="{E49E2337-1248-464F-93AA-524E7A88F776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H51</xm:sqref>
        </x14:conditionalFormatting>
        <x14:conditionalFormatting xmlns:xm="http://schemas.microsoft.com/office/excel/2006/main">
          <x14:cfRule type="iconSet" priority="30" id="{D4D8A87E-191B-49BE-8020-6766AF5D5BF4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H52</xm:sqref>
        </x14:conditionalFormatting>
        <x14:conditionalFormatting xmlns:xm="http://schemas.microsoft.com/office/excel/2006/main">
          <x14:cfRule type="iconSet" priority="31" id="{58674D53-21A4-454B-A030-FB1AC98A28E7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H53</xm:sqref>
        </x14:conditionalFormatting>
        <x14:conditionalFormatting xmlns:xm="http://schemas.microsoft.com/office/excel/2006/main">
          <x14:cfRule type="iconSet" priority="24" id="{2B6F2A62-C5BD-445A-8744-A65F0CE63FC7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H54</xm:sqref>
        </x14:conditionalFormatting>
        <x14:conditionalFormatting xmlns:xm="http://schemas.microsoft.com/office/excel/2006/main">
          <x14:cfRule type="iconSet" priority="21" id="{87964D9C-BBDE-4055-86C3-0325D9EE2A04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H55</xm:sqref>
        </x14:conditionalFormatting>
        <x14:conditionalFormatting xmlns:xm="http://schemas.microsoft.com/office/excel/2006/main">
          <x14:cfRule type="iconSet" priority="19" id="{78D85B58-EB6F-4BF5-A949-D6B9FB21DEC9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H56</xm:sqref>
        </x14:conditionalFormatting>
        <x14:conditionalFormatting xmlns:xm="http://schemas.microsoft.com/office/excel/2006/main">
          <x14:cfRule type="iconSet" priority="20" id="{4D437682-03CE-4E4E-AC65-5D0E0945D807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H57</xm:sqref>
        </x14:conditionalFormatting>
        <x14:conditionalFormatting xmlns:xm="http://schemas.microsoft.com/office/excel/2006/main">
          <x14:cfRule type="iconSet" priority="13" id="{231BF1BC-B7AB-433E-9409-D98755AF356D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H58</xm:sqref>
        </x14:conditionalFormatting>
        <x14:conditionalFormatting xmlns:xm="http://schemas.microsoft.com/office/excel/2006/main">
          <x14:cfRule type="iconSet" priority="10" id="{968DE5F6-A421-4C85-9FFB-E701ABD18091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H59</xm:sqref>
        </x14:conditionalFormatting>
        <x14:conditionalFormatting xmlns:xm="http://schemas.microsoft.com/office/excel/2006/main">
          <x14:cfRule type="iconSet" priority="8" id="{54B927FA-810D-48A4-A7FB-8B3F8831820E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H60</xm:sqref>
        </x14:conditionalFormatting>
        <x14:conditionalFormatting xmlns:xm="http://schemas.microsoft.com/office/excel/2006/main">
          <x14:cfRule type="iconSet" priority="9" id="{1FAD6668-9FA5-4FB1-A02D-65F6CC919842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H61</xm:sqref>
        </x14:conditionalFormatting>
        <x14:conditionalFormatting xmlns:xm="http://schemas.microsoft.com/office/excel/2006/main">
          <x14:cfRule type="iconSet" priority="2" id="{7DFFAE32-F89E-40E5-BBB3-D2764C6A85A7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H62</xm:sqref>
        </x14:conditionalFormatting>
        <x14:conditionalFormatting xmlns:xm="http://schemas.microsoft.com/office/excel/2006/main">
          <x14:cfRule type="iconSet" priority="187" id="{D6CA9112-E31E-493B-AC44-8CFD7A9AFAFB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L29:L45</xm:sqref>
        </x14:conditionalFormatting>
        <x14:conditionalFormatting xmlns:xm="http://schemas.microsoft.com/office/excel/2006/main">
          <x14:cfRule type="iconSet" priority="45" id="{807675E3-8123-408A-902D-C5F91F09F34C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L47:L49</xm:sqref>
        </x14:conditionalFormatting>
        <x14:conditionalFormatting xmlns:xm="http://schemas.microsoft.com/office/excel/2006/main">
          <x14:cfRule type="iconSet" priority="34" id="{96A2AA7D-5F86-4DB5-9EFC-E3D5A371360F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L51:L53</xm:sqref>
        </x14:conditionalFormatting>
        <x14:conditionalFormatting xmlns:xm="http://schemas.microsoft.com/office/excel/2006/main">
          <x14:cfRule type="iconSet" priority="23" id="{8828D4DD-5476-49CF-88AD-0D99C48FF04B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L55:L57</xm:sqref>
        </x14:conditionalFormatting>
        <x14:conditionalFormatting xmlns:xm="http://schemas.microsoft.com/office/excel/2006/main">
          <x14:cfRule type="iconSet" priority="12" id="{1799AB56-073C-44A9-976B-79E653DC5E00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L59:L61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A4F4-B1FA-4569-9A5C-4430E8288027}">
  <dimension ref="A1:AB3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C27" sqref="C27"/>
    </sheetView>
  </sheetViews>
  <sheetFormatPr defaultRowHeight="15" x14ac:dyDescent="0.25"/>
  <cols>
    <col min="1" max="1" width="19.125" style="75" customWidth="1"/>
    <col min="2" max="2" width="18.375" style="78" customWidth="1"/>
    <col min="3" max="4" width="90.625" style="49" customWidth="1"/>
    <col min="5" max="5" width="9" style="26" customWidth="1"/>
    <col min="6" max="28" width="70" style="26" customWidth="1"/>
    <col min="29" max="16384" width="9" style="27"/>
  </cols>
  <sheetData>
    <row r="1" spans="1:5" x14ac:dyDescent="0.25">
      <c r="A1" s="74" t="s">
        <v>109</v>
      </c>
      <c r="B1" s="76" t="s">
        <v>138</v>
      </c>
      <c r="C1" s="70"/>
      <c r="D1" s="71"/>
    </row>
    <row r="2" spans="1:5" x14ac:dyDescent="0.25">
      <c r="A2" s="74" t="s">
        <v>46</v>
      </c>
      <c r="B2" s="77" t="s">
        <v>139</v>
      </c>
      <c r="C2" s="51"/>
      <c r="D2" s="54"/>
    </row>
    <row r="3" spans="1:5" x14ac:dyDescent="0.25">
      <c r="A3" s="74" t="s">
        <v>48</v>
      </c>
      <c r="B3" s="77" t="s">
        <v>140</v>
      </c>
      <c r="C3" s="51"/>
      <c r="D3" s="54"/>
    </row>
    <row r="4" spans="1:5" x14ac:dyDescent="0.25">
      <c r="A4" s="74" t="s">
        <v>197</v>
      </c>
      <c r="B4" s="77" t="s">
        <v>141</v>
      </c>
      <c r="C4" s="51"/>
      <c r="D4" s="72"/>
    </row>
    <row r="5" spans="1:5" x14ac:dyDescent="0.25">
      <c r="A5" s="74" t="s">
        <v>51</v>
      </c>
      <c r="B5" s="77" t="s">
        <v>142</v>
      </c>
      <c r="C5" s="51"/>
      <c r="D5" s="54"/>
    </row>
    <row r="6" spans="1:5" x14ac:dyDescent="0.25">
      <c r="A6" s="74" t="s">
        <v>164</v>
      </c>
      <c r="B6" s="77" t="s">
        <v>143</v>
      </c>
      <c r="C6" s="51"/>
      <c r="D6" s="55"/>
    </row>
    <row r="7" spans="1:5" x14ac:dyDescent="0.25">
      <c r="A7" s="74" t="s">
        <v>165</v>
      </c>
      <c r="B7" s="77" t="s">
        <v>144</v>
      </c>
      <c r="C7" s="51"/>
      <c r="D7" s="54"/>
      <c r="E7" s="40" t="str">
        <f>HYPERLINK("#HealthReport!B30","Retrun")</f>
        <v>Retrun</v>
      </c>
    </row>
    <row r="8" spans="1:5" x14ac:dyDescent="0.25">
      <c r="A8" s="74" t="s">
        <v>52</v>
      </c>
      <c r="B8" s="77" t="s">
        <v>145</v>
      </c>
      <c r="C8" s="51"/>
      <c r="D8" s="54"/>
    </row>
    <row r="9" spans="1:5" x14ac:dyDescent="0.25">
      <c r="A9" s="74" t="s">
        <v>196</v>
      </c>
      <c r="B9" s="77" t="s">
        <v>176</v>
      </c>
      <c r="C9" s="73"/>
      <c r="D9" s="55"/>
    </row>
    <row r="10" spans="1:5" x14ac:dyDescent="0.25">
      <c r="A10" s="74" t="s">
        <v>53</v>
      </c>
      <c r="B10" s="77" t="s">
        <v>146</v>
      </c>
      <c r="C10" s="51"/>
      <c r="D10" s="55"/>
    </row>
    <row r="11" spans="1:5" x14ac:dyDescent="0.25">
      <c r="A11" s="74" t="s">
        <v>36</v>
      </c>
      <c r="B11" s="77" t="s">
        <v>147</v>
      </c>
      <c r="C11" s="51"/>
      <c r="D11" s="54"/>
    </row>
    <row r="12" spans="1:5" x14ac:dyDescent="0.25">
      <c r="A12" s="74" t="s">
        <v>54</v>
      </c>
      <c r="B12" s="77" t="s">
        <v>148</v>
      </c>
      <c r="C12" s="51"/>
      <c r="D12" s="53"/>
    </row>
    <row r="13" spans="1:5" x14ac:dyDescent="0.25">
      <c r="A13" s="74" t="s">
        <v>49</v>
      </c>
      <c r="B13" s="77" t="s">
        <v>150</v>
      </c>
      <c r="C13" s="51"/>
      <c r="D13" s="72"/>
    </row>
    <row r="14" spans="1:5" x14ac:dyDescent="0.25">
      <c r="A14" s="74" t="s">
        <v>33</v>
      </c>
      <c r="B14" s="77" t="s">
        <v>166</v>
      </c>
      <c r="C14" s="51"/>
      <c r="D14" s="59"/>
    </row>
    <row r="15" spans="1:5" x14ac:dyDescent="0.25">
      <c r="A15" s="74" t="s">
        <v>55</v>
      </c>
      <c r="B15" s="77" t="s">
        <v>167</v>
      </c>
      <c r="C15" s="51"/>
      <c r="D15" s="54"/>
    </row>
    <row r="16" spans="1:5" x14ac:dyDescent="0.25">
      <c r="A16" s="74" t="s">
        <v>108</v>
      </c>
      <c r="B16" s="77" t="s">
        <v>168</v>
      </c>
      <c r="C16" s="51"/>
      <c r="D16" s="55"/>
    </row>
    <row r="17" spans="1:4" x14ac:dyDescent="0.25">
      <c r="A17" s="74" t="s">
        <v>47</v>
      </c>
      <c r="B17" s="77" t="s">
        <v>179</v>
      </c>
      <c r="C17" s="51"/>
      <c r="D17" s="54"/>
    </row>
    <row r="18" spans="1:4" x14ac:dyDescent="0.25">
      <c r="A18" s="74" t="s">
        <v>57</v>
      </c>
      <c r="B18" s="77" t="s">
        <v>180</v>
      </c>
      <c r="C18" s="51"/>
      <c r="D18" s="54"/>
    </row>
    <row r="19" spans="1:4" x14ac:dyDescent="0.25">
      <c r="A19" s="74" t="s">
        <v>56</v>
      </c>
      <c r="B19" s="77" t="s">
        <v>181</v>
      </c>
      <c r="C19" s="73"/>
      <c r="D19" s="55"/>
    </row>
    <row r="20" spans="1:4" x14ac:dyDescent="0.25">
      <c r="A20" s="74" t="s">
        <v>58</v>
      </c>
      <c r="B20" s="77" t="s">
        <v>182</v>
      </c>
      <c r="C20" s="73"/>
      <c r="D20" s="55"/>
    </row>
    <row r="21" spans="1:4" x14ac:dyDescent="0.25">
      <c r="A21" s="74" t="s">
        <v>59</v>
      </c>
      <c r="B21" s="77" t="s">
        <v>183</v>
      </c>
      <c r="C21" s="51"/>
      <c r="D21" s="55"/>
    </row>
    <row r="22" spans="1:4" x14ac:dyDescent="0.25">
      <c r="A22" s="74" t="s">
        <v>60</v>
      </c>
      <c r="B22" s="77" t="s">
        <v>184</v>
      </c>
      <c r="C22" s="52"/>
      <c r="D22" s="59"/>
    </row>
    <row r="23" spans="1:4" x14ac:dyDescent="0.25">
      <c r="A23" s="74" t="s">
        <v>61</v>
      </c>
      <c r="B23" s="77" t="s">
        <v>149</v>
      </c>
      <c r="C23" s="73"/>
      <c r="D23" s="54"/>
    </row>
    <row r="24" spans="1:4" x14ac:dyDescent="0.25">
      <c r="A24" s="74" t="s">
        <v>169</v>
      </c>
      <c r="B24" s="77" t="s">
        <v>170</v>
      </c>
      <c r="C24" s="73"/>
      <c r="D24" s="55"/>
    </row>
    <row r="25" spans="1:4" x14ac:dyDescent="0.25">
      <c r="A25" s="74" t="s">
        <v>171</v>
      </c>
      <c r="B25" s="77" t="s">
        <v>172</v>
      </c>
      <c r="C25" s="73"/>
      <c r="D25" s="54"/>
    </row>
    <row r="26" spans="1:4" x14ac:dyDescent="0.25">
      <c r="A26" s="74" t="s">
        <v>173</v>
      </c>
      <c r="B26" s="77" t="s">
        <v>174</v>
      </c>
      <c r="C26" s="73"/>
      <c r="D26" s="54"/>
    </row>
    <row r="27" spans="1:4" x14ac:dyDescent="0.25">
      <c r="A27" s="74" t="s">
        <v>185</v>
      </c>
      <c r="B27" s="77" t="s">
        <v>175</v>
      </c>
      <c r="C27" s="73"/>
      <c r="D27" s="55"/>
    </row>
    <row r="28" spans="1:4" x14ac:dyDescent="0.25">
      <c r="A28" s="74" t="s">
        <v>186</v>
      </c>
      <c r="B28" s="77" t="s">
        <v>177</v>
      </c>
      <c r="C28" s="73"/>
      <c r="D28" s="55"/>
    </row>
    <row r="29" spans="1:4" x14ac:dyDescent="0.25">
      <c r="A29" s="74" t="s">
        <v>187</v>
      </c>
      <c r="B29" s="77" t="s">
        <v>178</v>
      </c>
      <c r="C29" s="73"/>
      <c r="D29" s="55"/>
    </row>
    <row r="30" spans="1:4" x14ac:dyDescent="0.25">
      <c r="A30" s="74" t="s">
        <v>188</v>
      </c>
      <c r="B30" s="77" t="s">
        <v>189</v>
      </c>
      <c r="C30" s="54"/>
      <c r="D30" s="55"/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7FAC-338D-40AE-9A03-D56E1C0E6070}">
  <dimension ref="A1:AB45"/>
  <sheetViews>
    <sheetView zoomScaleNormal="100" workbookViewId="0">
      <pane xSplit="1" ySplit="2" topLeftCell="B15" activePane="bottomRight" state="frozen"/>
      <selection activeCell="B3" sqref="B3"/>
      <selection pane="topRight" activeCell="B3" sqref="B3"/>
      <selection pane="bottomLeft" activeCell="B3" sqref="B3"/>
      <selection pane="bottomRight" activeCell="C41" sqref="C41"/>
    </sheetView>
  </sheetViews>
  <sheetFormatPr defaultRowHeight="15" x14ac:dyDescent="0.25"/>
  <cols>
    <col min="1" max="1" width="25.5" style="75" customWidth="1"/>
    <col min="2" max="2" width="20" style="80" customWidth="1"/>
    <col min="3" max="4" width="90.625" style="49" customWidth="1"/>
    <col min="5" max="27" width="87.5" style="26" customWidth="1"/>
    <col min="28" max="16384" width="9" style="27"/>
  </cols>
  <sheetData>
    <row r="1" spans="1:28" x14ac:dyDescent="0.25">
      <c r="A1" s="74" t="s">
        <v>109</v>
      </c>
      <c r="B1" s="79" t="s">
        <v>138</v>
      </c>
      <c r="C1" s="50"/>
      <c r="D1" s="53"/>
      <c r="AB1" s="26"/>
    </row>
    <row r="2" spans="1:28" x14ac:dyDescent="0.25">
      <c r="A2" s="74" t="s">
        <v>62</v>
      </c>
      <c r="B2" s="76" t="s">
        <v>110</v>
      </c>
      <c r="C2" s="51"/>
      <c r="D2" s="54"/>
    </row>
    <row r="3" spans="1:28" x14ac:dyDescent="0.25">
      <c r="A3" s="74" t="s">
        <v>50</v>
      </c>
      <c r="B3" s="77" t="s">
        <v>111</v>
      </c>
      <c r="C3" s="52"/>
      <c r="D3" s="55"/>
      <c r="AB3" s="26"/>
    </row>
    <row r="4" spans="1:28" x14ac:dyDescent="0.25">
      <c r="A4" s="74" t="s">
        <v>71</v>
      </c>
      <c r="B4" s="76" t="s">
        <v>112</v>
      </c>
      <c r="C4" s="52"/>
      <c r="D4" s="55"/>
    </row>
    <row r="5" spans="1:28" x14ac:dyDescent="0.25">
      <c r="A5" s="74" t="s">
        <v>87</v>
      </c>
      <c r="B5" s="76" t="s">
        <v>113</v>
      </c>
      <c r="C5" s="52"/>
      <c r="D5" s="55"/>
    </row>
    <row r="6" spans="1:28" x14ac:dyDescent="0.25">
      <c r="A6" s="74" t="s">
        <v>90</v>
      </c>
      <c r="B6" s="76" t="s">
        <v>114</v>
      </c>
      <c r="C6" s="52"/>
      <c r="D6" s="55"/>
    </row>
    <row r="7" spans="1:28" x14ac:dyDescent="0.25">
      <c r="A7" s="74" t="s">
        <v>72</v>
      </c>
      <c r="B7" s="76" t="s">
        <v>115</v>
      </c>
      <c r="C7" s="52"/>
      <c r="D7" s="55"/>
    </row>
    <row r="8" spans="1:28" x14ac:dyDescent="0.25">
      <c r="A8" s="74" t="s">
        <v>73</v>
      </c>
      <c r="B8" s="76" t="s">
        <v>238</v>
      </c>
      <c r="C8" s="52"/>
      <c r="D8" s="55"/>
    </row>
    <row r="9" spans="1:28" x14ac:dyDescent="0.25">
      <c r="A9" s="74" t="s">
        <v>205</v>
      </c>
      <c r="B9" s="76" t="s">
        <v>201</v>
      </c>
      <c r="C9" s="52"/>
      <c r="D9" s="55"/>
    </row>
    <row r="10" spans="1:28" x14ac:dyDescent="0.25">
      <c r="A10" s="74" t="s">
        <v>206</v>
      </c>
      <c r="B10" s="76" t="s">
        <v>202</v>
      </c>
      <c r="C10" s="52"/>
      <c r="D10" s="55"/>
    </row>
    <row r="11" spans="1:28" x14ac:dyDescent="0.25">
      <c r="A11" s="74" t="s">
        <v>74</v>
      </c>
      <c r="B11" s="76" t="s">
        <v>203</v>
      </c>
      <c r="C11" s="52"/>
      <c r="D11" s="55"/>
    </row>
    <row r="12" spans="1:28" x14ac:dyDescent="0.25">
      <c r="A12" s="74" t="s">
        <v>77</v>
      </c>
      <c r="B12" s="76" t="s">
        <v>204</v>
      </c>
      <c r="C12" s="52"/>
      <c r="D12" s="55"/>
    </row>
    <row r="13" spans="1:28" x14ac:dyDescent="0.25">
      <c r="A13" s="74" t="s">
        <v>207</v>
      </c>
      <c r="B13" s="76" t="s">
        <v>119</v>
      </c>
      <c r="C13" s="52"/>
      <c r="D13" s="55"/>
    </row>
    <row r="14" spans="1:28" x14ac:dyDescent="0.25">
      <c r="A14" s="74" t="s">
        <v>75</v>
      </c>
      <c r="B14" s="76" t="s">
        <v>116</v>
      </c>
      <c r="C14" s="52"/>
      <c r="D14" s="55"/>
    </row>
    <row r="15" spans="1:28" x14ac:dyDescent="0.25">
      <c r="A15" s="74" t="s">
        <v>9</v>
      </c>
      <c r="B15" s="76" t="s">
        <v>117</v>
      </c>
      <c r="C15" s="52"/>
      <c r="D15" s="55"/>
    </row>
    <row r="16" spans="1:28" x14ac:dyDescent="0.25">
      <c r="A16" s="74" t="s">
        <v>39</v>
      </c>
      <c r="B16" s="76" t="s">
        <v>118</v>
      </c>
      <c r="C16" s="52"/>
      <c r="D16" s="55"/>
    </row>
    <row r="17" spans="1:4" x14ac:dyDescent="0.25">
      <c r="A17" s="74" t="s">
        <v>97</v>
      </c>
      <c r="B17" s="76" t="s">
        <v>120</v>
      </c>
      <c r="C17" s="52"/>
      <c r="D17" s="55"/>
    </row>
    <row r="18" spans="1:4" x14ac:dyDescent="0.25">
      <c r="A18" s="74" t="s">
        <v>79</v>
      </c>
      <c r="B18" s="76" t="s">
        <v>121</v>
      </c>
      <c r="C18" s="52"/>
      <c r="D18" s="55"/>
    </row>
    <row r="19" spans="1:4" x14ac:dyDescent="0.25">
      <c r="A19" s="74" t="s">
        <v>78</v>
      </c>
      <c r="B19" s="76" t="s">
        <v>209</v>
      </c>
      <c r="C19" s="52"/>
      <c r="D19" s="55"/>
    </row>
    <row r="20" spans="1:4" x14ac:dyDescent="0.25">
      <c r="A20" s="74" t="s">
        <v>80</v>
      </c>
      <c r="B20" s="76" t="s">
        <v>122</v>
      </c>
      <c r="C20" s="52"/>
      <c r="D20" s="55"/>
    </row>
    <row r="21" spans="1:4" x14ac:dyDescent="0.25">
      <c r="A21" s="74" t="s">
        <v>64</v>
      </c>
      <c r="B21" s="76" t="s">
        <v>210</v>
      </c>
      <c r="C21" s="52"/>
      <c r="D21" s="55"/>
    </row>
    <row r="22" spans="1:4" x14ac:dyDescent="0.25">
      <c r="A22" s="74" t="s">
        <v>70</v>
      </c>
      <c r="B22" s="79" t="s">
        <v>213</v>
      </c>
      <c r="C22" s="52"/>
      <c r="D22" s="55"/>
    </row>
    <row r="23" spans="1:4" x14ac:dyDescent="0.25">
      <c r="A23" s="74" t="s">
        <v>95</v>
      </c>
      <c r="B23" s="79" t="s">
        <v>211</v>
      </c>
      <c r="C23" s="52"/>
      <c r="D23" s="55"/>
    </row>
    <row r="24" spans="1:4" x14ac:dyDescent="0.25">
      <c r="A24" s="74" t="s">
        <v>96</v>
      </c>
      <c r="B24" s="79" t="s">
        <v>212</v>
      </c>
      <c r="C24" s="52"/>
      <c r="D24" s="55"/>
    </row>
    <row r="25" spans="1:4" x14ac:dyDescent="0.25">
      <c r="A25" s="74" t="s">
        <v>85</v>
      </c>
      <c r="B25" s="79" t="s">
        <v>214</v>
      </c>
      <c r="C25" s="52"/>
      <c r="D25" s="55"/>
    </row>
    <row r="26" spans="1:4" x14ac:dyDescent="0.25">
      <c r="A26" s="74" t="s">
        <v>86</v>
      </c>
      <c r="B26" s="79" t="s">
        <v>124</v>
      </c>
      <c r="C26" s="52"/>
      <c r="D26" s="55"/>
    </row>
    <row r="27" spans="1:4" x14ac:dyDescent="0.25">
      <c r="A27" s="74" t="s">
        <v>88</v>
      </c>
      <c r="B27" s="79" t="s">
        <v>125</v>
      </c>
      <c r="C27" s="52"/>
      <c r="D27" s="55"/>
    </row>
    <row r="28" spans="1:4" x14ac:dyDescent="0.25">
      <c r="A28" s="74" t="s">
        <v>89</v>
      </c>
      <c r="B28" s="79" t="s">
        <v>126</v>
      </c>
      <c r="C28" s="52"/>
      <c r="D28" s="55"/>
    </row>
    <row r="29" spans="1:4" x14ac:dyDescent="0.25">
      <c r="A29" s="74" t="s">
        <v>93</v>
      </c>
      <c r="B29" s="79" t="s">
        <v>127</v>
      </c>
      <c r="C29" s="52"/>
      <c r="D29" s="55"/>
    </row>
    <row r="30" spans="1:4" x14ac:dyDescent="0.25">
      <c r="A30" s="74" t="s">
        <v>94</v>
      </c>
      <c r="B30" s="79" t="s">
        <v>215</v>
      </c>
      <c r="C30" s="52"/>
      <c r="D30" s="55"/>
    </row>
    <row r="31" spans="1:4" x14ac:dyDescent="0.25">
      <c r="A31" s="74" t="s">
        <v>65</v>
      </c>
      <c r="B31" s="79" t="s">
        <v>128</v>
      </c>
      <c r="C31" s="52"/>
      <c r="D31" s="55"/>
    </row>
    <row r="32" spans="1:4" x14ac:dyDescent="0.25">
      <c r="A32" s="74" t="s">
        <v>66</v>
      </c>
      <c r="B32" s="79" t="s">
        <v>129</v>
      </c>
      <c r="C32" s="52"/>
      <c r="D32" s="55"/>
    </row>
    <row r="33" spans="1:4" x14ac:dyDescent="0.25">
      <c r="A33" s="74" t="s">
        <v>67</v>
      </c>
      <c r="B33" s="79" t="s">
        <v>130</v>
      </c>
      <c r="C33" s="52"/>
      <c r="D33" s="55"/>
    </row>
    <row r="34" spans="1:4" x14ac:dyDescent="0.25">
      <c r="A34" s="74" t="s">
        <v>68</v>
      </c>
      <c r="B34" s="79" t="s">
        <v>131</v>
      </c>
      <c r="C34" s="52"/>
      <c r="D34" s="55"/>
    </row>
    <row r="35" spans="1:4" x14ac:dyDescent="0.25">
      <c r="A35" s="74" t="s">
        <v>98</v>
      </c>
      <c r="B35" s="79" t="s">
        <v>132</v>
      </c>
      <c r="C35" s="52"/>
      <c r="D35" s="55"/>
    </row>
    <row r="36" spans="1:4" x14ac:dyDescent="0.25">
      <c r="A36" s="74" t="s">
        <v>99</v>
      </c>
      <c r="B36" s="79" t="s">
        <v>244</v>
      </c>
      <c r="C36" s="52"/>
      <c r="D36" s="55"/>
    </row>
    <row r="37" spans="1:4" x14ac:dyDescent="0.25">
      <c r="A37" s="74" t="s">
        <v>100</v>
      </c>
      <c r="B37" s="79" t="s">
        <v>133</v>
      </c>
      <c r="C37" s="52"/>
      <c r="D37" s="55"/>
    </row>
    <row r="38" spans="1:4" x14ac:dyDescent="0.25">
      <c r="A38" s="74" t="s">
        <v>69</v>
      </c>
      <c r="B38" s="79" t="s">
        <v>134</v>
      </c>
      <c r="C38" s="52"/>
      <c r="D38" s="55"/>
    </row>
    <row r="39" spans="1:4" x14ac:dyDescent="0.25">
      <c r="A39" s="74" t="s">
        <v>82</v>
      </c>
      <c r="B39" s="79" t="s">
        <v>135</v>
      </c>
      <c r="C39" s="52"/>
      <c r="D39" s="55"/>
    </row>
    <row r="40" spans="1:4" x14ac:dyDescent="0.25">
      <c r="A40" s="74" t="s">
        <v>217</v>
      </c>
      <c r="B40" s="79" t="s">
        <v>216</v>
      </c>
      <c r="C40" s="52"/>
      <c r="D40" s="55"/>
    </row>
    <row r="41" spans="1:4" x14ac:dyDescent="0.25">
      <c r="A41" s="74" t="s">
        <v>227</v>
      </c>
      <c r="B41" s="79" t="s">
        <v>226</v>
      </c>
      <c r="C41" s="50"/>
      <c r="D41" s="53"/>
    </row>
    <row r="42" spans="1:4" x14ac:dyDescent="0.25">
      <c r="A42" s="74" t="s">
        <v>218</v>
      </c>
      <c r="B42" s="79" t="s">
        <v>225</v>
      </c>
      <c r="C42" s="56"/>
      <c r="D42" s="57"/>
    </row>
    <row r="43" spans="1:4" x14ac:dyDescent="0.25">
      <c r="A43" s="74" t="s">
        <v>219</v>
      </c>
      <c r="B43" s="79" t="s">
        <v>224</v>
      </c>
      <c r="C43" s="52"/>
      <c r="D43" s="55"/>
    </row>
    <row r="44" spans="1:4" x14ac:dyDescent="0.25">
      <c r="A44" s="74" t="s">
        <v>220</v>
      </c>
      <c r="B44" s="79" t="s">
        <v>223</v>
      </c>
      <c r="C44" s="50"/>
      <c r="D44" s="53"/>
    </row>
    <row r="45" spans="1:4" x14ac:dyDescent="0.25">
      <c r="A45" s="74" t="s">
        <v>221</v>
      </c>
      <c r="B45" s="79" t="s">
        <v>222</v>
      </c>
      <c r="C45" s="56"/>
      <c r="D45" s="57"/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3CED-92E7-4A64-BF87-00E3B3B76718}">
  <dimension ref="A1:AB20"/>
  <sheetViews>
    <sheetView workbookViewId="0">
      <pane xSplit="1" ySplit="2" topLeftCell="B8" activePane="bottomRight" state="frozen"/>
      <selection pane="topRight" activeCell="B1" sqref="B1"/>
      <selection pane="bottomLeft" activeCell="A2" sqref="A2"/>
      <selection pane="bottomRight" activeCell="C36" sqref="C36"/>
    </sheetView>
  </sheetViews>
  <sheetFormatPr defaultRowHeight="15" x14ac:dyDescent="0.25"/>
  <cols>
    <col min="1" max="1" width="14.125" style="81" customWidth="1"/>
    <col min="2" max="2" width="15.625" customWidth="1"/>
    <col min="3" max="4" width="102.625" style="48" customWidth="1"/>
  </cols>
  <sheetData>
    <row r="1" spans="1:28" s="27" customFormat="1" x14ac:dyDescent="0.25">
      <c r="A1" s="74" t="s">
        <v>109</v>
      </c>
      <c r="B1" s="47" t="s">
        <v>138</v>
      </c>
      <c r="C1" s="51"/>
      <c r="D1" s="54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x14ac:dyDescent="0.25">
      <c r="A2" s="74" t="s">
        <v>101</v>
      </c>
      <c r="B2" s="47" t="s">
        <v>152</v>
      </c>
      <c r="C2" s="58"/>
      <c r="D2" s="59"/>
    </row>
    <row r="3" spans="1:28" x14ac:dyDescent="0.25">
      <c r="A3" s="74" t="s">
        <v>103</v>
      </c>
      <c r="B3" s="47" t="s">
        <v>153</v>
      </c>
      <c r="C3" s="58"/>
      <c r="D3" s="59"/>
    </row>
    <row r="4" spans="1:28" x14ac:dyDescent="0.25">
      <c r="A4" s="74" t="s">
        <v>107</v>
      </c>
      <c r="B4" s="47" t="s">
        <v>246</v>
      </c>
      <c r="C4" s="51"/>
      <c r="D4" s="59"/>
    </row>
    <row r="5" spans="1:28" x14ac:dyDescent="0.25">
      <c r="A5" s="74" t="s">
        <v>161</v>
      </c>
      <c r="B5" s="47" t="s">
        <v>154</v>
      </c>
      <c r="C5" s="58"/>
      <c r="D5" s="59"/>
    </row>
    <row r="6" spans="1:28" x14ac:dyDescent="0.25">
      <c r="A6" s="74" t="s">
        <v>162</v>
      </c>
      <c r="B6" s="47" t="s">
        <v>247</v>
      </c>
      <c r="C6" s="58"/>
      <c r="D6" s="59"/>
    </row>
    <row r="7" spans="1:28" ht="27" x14ac:dyDescent="0.25">
      <c r="A7" s="74" t="s">
        <v>92</v>
      </c>
      <c r="B7" s="47" t="s">
        <v>237</v>
      </c>
      <c r="C7" s="58"/>
      <c r="D7" s="59"/>
    </row>
    <row r="8" spans="1:28" s="27" customFormat="1" x14ac:dyDescent="0.25">
      <c r="A8" s="74" t="s">
        <v>200</v>
      </c>
      <c r="B8" s="47" t="s">
        <v>123</v>
      </c>
      <c r="C8" s="58"/>
      <c r="D8" s="59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8" x14ac:dyDescent="0.25">
      <c r="A9" s="74" t="s">
        <v>151</v>
      </c>
      <c r="B9" s="47" t="s">
        <v>155</v>
      </c>
      <c r="C9" s="58"/>
      <c r="D9" s="59"/>
    </row>
    <row r="10" spans="1:28" x14ac:dyDescent="0.25">
      <c r="A10" s="74" t="s">
        <v>104</v>
      </c>
      <c r="B10" s="47" t="s">
        <v>156</v>
      </c>
      <c r="C10" s="58"/>
      <c r="D10" s="59"/>
    </row>
    <row r="11" spans="1:28" x14ac:dyDescent="0.25">
      <c r="A11" s="74" t="s">
        <v>102</v>
      </c>
      <c r="B11" s="47" t="s">
        <v>157</v>
      </c>
      <c r="C11" s="58"/>
      <c r="D11" s="59"/>
    </row>
    <row r="12" spans="1:28" x14ac:dyDescent="0.25">
      <c r="A12" s="74" t="s">
        <v>91</v>
      </c>
      <c r="B12" s="47" t="s">
        <v>158</v>
      </c>
      <c r="C12" s="58"/>
      <c r="D12" s="59"/>
    </row>
    <row r="13" spans="1:28" ht="27" x14ac:dyDescent="0.25">
      <c r="A13" s="74" t="s">
        <v>105</v>
      </c>
      <c r="B13" s="47" t="s">
        <v>245</v>
      </c>
      <c r="C13" s="58"/>
      <c r="D13" s="59"/>
    </row>
    <row r="14" spans="1:28" s="27" customFormat="1" x14ac:dyDescent="0.25">
      <c r="A14" s="74" t="s">
        <v>81</v>
      </c>
      <c r="B14" s="76" t="s">
        <v>239</v>
      </c>
      <c r="C14" s="52"/>
      <c r="D14" s="55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8" x14ac:dyDescent="0.25">
      <c r="A15" s="74" t="s">
        <v>106</v>
      </c>
      <c r="B15" s="47" t="s">
        <v>159</v>
      </c>
      <c r="C15" s="89"/>
      <c r="D15" s="89"/>
    </row>
    <row r="16" spans="1:28" s="27" customFormat="1" x14ac:dyDescent="0.25">
      <c r="A16" s="74" t="s">
        <v>240</v>
      </c>
      <c r="B16" s="79" t="s">
        <v>242</v>
      </c>
      <c r="C16" s="52"/>
      <c r="D16" s="55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s="27" customFormat="1" x14ac:dyDescent="0.25">
      <c r="A17" s="74" t="s">
        <v>241</v>
      </c>
      <c r="B17" s="79" t="s">
        <v>243</v>
      </c>
      <c r="C17" s="52"/>
      <c r="D17" s="55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x14ac:dyDescent="0.25">
      <c r="A18" s="74" t="s">
        <v>63</v>
      </c>
      <c r="B18" s="47" t="s">
        <v>160</v>
      </c>
      <c r="C18" s="60"/>
      <c r="D18" s="61"/>
    </row>
    <row r="19" spans="1:27" s="27" customFormat="1" x14ac:dyDescent="0.25">
      <c r="A19" s="74" t="s">
        <v>83</v>
      </c>
      <c r="B19" s="47" t="s">
        <v>136</v>
      </c>
      <c r="C19" s="52"/>
      <c r="D19" s="55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s="27" customFormat="1" x14ac:dyDescent="0.25">
      <c r="A20" s="74" t="s">
        <v>84</v>
      </c>
      <c r="B20" s="47" t="s">
        <v>137</v>
      </c>
      <c r="C20" s="52"/>
      <c r="D20" s="55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98E7F3D6-785F-49FE-8501-BF769B99AE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D4997A-F5D7-47B8-8021-08C076C5E1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1BB4A4-C009-44B7-9F89-7FA7A7BF749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TM16400501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HealthReport</vt:lpstr>
      <vt:lpstr>OS</vt:lpstr>
      <vt:lpstr>DB</vt:lpstr>
      <vt:lpstr>INST</vt:lpstr>
      <vt:lpstr>ColumnTitle1</vt:lpstr>
      <vt:lpstr>HealthReport!Print_Titles</vt:lpstr>
      <vt:lpstr>RowTitleRegion1..C7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2022-11-10T06:32:34Z</dcterms:created>
  <dcterms:modified xsi:type="dcterms:W3CDTF">2025-09-01T14:59:47Z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